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<sst xmlns="http://schemas.openxmlformats.org/spreadsheetml/2006/main" count="2890" uniqueCount="1002">
  <si>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</si>
  <si>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</si>
  <si>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</si>
  <si>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</si>
  <si>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</si>
  <si>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</si>
  <si>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</si>
  <si>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</si>
  <si>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</si>
  <si>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</si>
  <si>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</si>
  <si>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</si>
  <si>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</si>
  <si>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</si>
  <si>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</si>
  <si>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</si>
  <si>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</si>
  <si>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</si>
  <si>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</si>
  <si>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</si>
  <si>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</si>
  <si>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</si>
  <si>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</si>
  <si>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</si>
  <si>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</si>
  <si>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</si>
  <si>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</si>
  <si>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</si>
  <si>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</si>
  <si>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</si>
  <si>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</si>
  <si>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</si>
  <si>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</si>
  <si>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</si>
  <si>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</si>
  <si>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</si>
  <si>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</si>
  <si>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</si>
  <si>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</si>
  <si>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</si>
  <si>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</si>
  <si>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</si>
  <si>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</si>
  <si>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</si>
  <si>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</si>
  <si>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</si>
  <si>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</si>
  <si>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</si>
  <si>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</si>
  <si>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</si>
  <si>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SUL - 100KM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</si>
  <si>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</si>
  <si>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</si>
  <si>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</si>
  <si>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</si>
  <si>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</si>
  <si>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</si>
  <si>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</si>
  <si>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</si>
  <si>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SUDESTE - 100KM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</si>
  <si>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</si>
  <si>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</si>
  <si>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</si>
  <si>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</si>
  <si>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</si>
  <si>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</si>
  <si>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</si>
  <si>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</si>
  <si>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</si>
  <si>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SUDESTE - BARUERI-CAJAMAR 100KM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</si>
  <si>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</si>
  <si>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</si>
  <si>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</si>
  <si>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</si>
  <si>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</si>
  <si>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</si>
  <si>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</si>
  <si>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</si>
  <si>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</si>
  <si>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</si>
  <si>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SUDESTE - CAJAMAR-RIO DE JANEIRO 200KM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</si>
  <si>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</si>
  <si>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</si>
  <si>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</si>
  <si>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</si>
  <si>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</si>
  <si>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</si>
  <si>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</si>
  <si>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</si>
  <si>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</si>
  <si>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- 100KM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</si>
  <si>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</si>
  <si>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</si>
  <si>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</si>
  <si>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</si>
  <si>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</si>
  <si>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</si>
  <si>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</si>
  <si>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</si>
  <si>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</si>
  <si>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SUDESTE - RAIO ES 300KM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</si>
  <si>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</si>
  <si>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</si>
  <si>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</si>
  <si>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</si>
  <si>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</si>
  <si>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</si>
  <si>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</si>
  <si>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</si>
  <si>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</si>
  <si>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</si>
  <si>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</si>
  <si>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</si>
  <si>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</si>
  <si>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</si>
  <si>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</si>
  <si>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</si>
  <si>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</si>
  <si>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</si>
  <si>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</si>
  <si>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</si>
  <si>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</si>
  <si>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</si>
  <si>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</si>
  <si>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</si>
  <si>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</si>
  <si>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</si>
  <si>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</si>
  <si>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</si>
  <si>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</si>
  <si>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</si>
  <si>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</si>
  <si>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</si>
  <si>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</si>
  <si>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</si>
  <si>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</si>
  <si>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</si>
  <si>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</si>
  <si>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</si>
  <si>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</si>
  <si>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</si>
  <si>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</si>
  <si>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</si>
  <si>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</si>
  <si>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-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</si>
  <si>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</si>
  <si>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</si>
  <si>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</si>
  <si>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</si>
  <si>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</si>
  <si>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</si>
  <si>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</si>
  <si>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</si>
  <si>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</si>
  <si>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</si>
  <si>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</si>
  <si>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</si>
  <si>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</si>
  <si>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</si>
  <si>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</si>
  <si>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</si>
  <si>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</si>
  <si>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</si>
  <si>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</si>
  <si>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SUL - RAIO PR 500KM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</si>
  <si>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</si>
  <si>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</si>
  <si>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</si>
  <si>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</si>
  <si>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</si>
  <si>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</si>
  <si>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</si>
  <si>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BARUERI-FORTALEZA 2970KM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</si>
  <si>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</si>
  <si>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</si>
  <si>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</si>
  <si>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</si>
  <si>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</si>
  <si>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</si>
  <si>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</si>
  <si>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</si>
  <si>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</si>
  <si>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</si>
  <si>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</si>
  <si>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</si>
  <si>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</si>
  <si>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</si>
  <si>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</si>
  <si>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</si>
  <si>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</si>
  <si>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</si>
  <si>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</si>
  <si>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</si>
  <si>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</si>
  <si>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</si>
  <si>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</si>
  <si>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</si>
  <si>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</si>
  <si>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</si>
  <si>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</si>
  <si>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</si>
  <si>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</si>
  <si>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SUDESTE - GUARULHOS-SERRA 758KM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</si>
  <si>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</si>
  <si>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</si>
  <si>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</si>
  <si>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</si>
  <si>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</si>
  <si>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</si>
  <si>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</si>
  <si>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</si>
  <si>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</si>
  <si>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</si>
  <si>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</si>
  <si>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</si>
  <si>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</si>
  <si>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</si>
  <si>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</si>
  <si>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</si>
  <si>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</si>
  <si>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</si>
  <si>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</si>
  <si>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</si>
  <si>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</si>
  <si>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SUDESTE - RAIO ES 400KM</t>
  </si>
  <si>
    <t>179080</t>
  </si>
  <si>
    <t>1555393</t>
  </si>
  <si>
    <t>5068</t>
  </si>
  <si>
    <t>TJC1H27</t>
  </si>
  <si>
    <t>PXA5I78</t>
  </si>
  <si>
    <t>SUDESTE - 900KM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</si>
  <si>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</si>
  <si>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</si>
  <si>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</si>
  <si>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</si>
  <si>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</si>
  <si>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</si>
  <si>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</si>
  <si>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</si>
  <si>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</si>
  <si>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</si>
  <si>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</si>
  <si>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SUL - DISTRIBUIÇÃO RS 100KM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</si>
  <si>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</si>
  <si>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</si>
  <si>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</si>
  <si>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</si>
  <si>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</si>
  <si>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</si>
  <si>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</si>
  <si>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</si>
  <si>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</si>
  <si>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</si>
  <si>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</si>
  <si>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</si>
  <si>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</si>
  <si>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</si>
  <si>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</si>
  <si>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</si>
  <si>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</si>
  <si>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</si>
  <si>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</si>
  <si>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</si>
  <si>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</si>
  <si>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</si>
  <si>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</si>
  <si>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</si>
  <si>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</si>
  <si>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</si>
  <si>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</si>
  <si>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</si>
  <si>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</si>
  <si>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</si>
  <si>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</si>
  <si>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</si>
  <si>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</si>
  <si>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</si>
  <si>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</si>
  <si>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</si>
  <si>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</si>
  <si>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</si>
  <si>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</si>
  <si>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</si>
  <si>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</si>
  <si>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</si>
  <si>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</si>
  <si>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</si>
  <si>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</si>
  <si>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</si>
  <si>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</si>
  <si>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</si>
  <si>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</si>
  <si>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</si>
  <si>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</si>
  <si>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</si>
  <si>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</si>
  <si>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</si>
  <si>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</si>
  <si>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</si>
  <si>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</si>
  <si>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</si>
  <si>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</si>
  <si>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</si>
  <si>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</si>
  <si>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</si>
  <si>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</si>
  <si>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</si>
  <si>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</si>
  <si>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</si>
  <si>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</si>
  <si>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</si>
  <si>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</si>
  <si>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</si>
  <si>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</si>
  <si>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</si>
  <si>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SUDESTE - ITAPEVI-COTIA 34KM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</si>
  <si>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</si>
  <si>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</si>
  <si>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</si>
  <si>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</si>
  <si>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</si>
  <si>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</si>
  <si>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</si>
  <si>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</si>
  <si>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</si>
  <si>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</si>
  <si>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</si>
  <si>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</si>
  <si>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</si>
  <si>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</si>
  <si>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</si>
  <si>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</si>
  <si>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</si>
  <si>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</si>
  <si>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</si>
  <si>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</si>
  <si>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</si>
  <si>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</si>
  <si>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</si>
  <si>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</si>
  <si>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</si>
  <si>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</si>
  <si>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</si>
  <si>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</si>
  <si>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</si>
  <si>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</si>
  <si>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</si>
  <si>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- 100KM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</si>
  <si>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</si>
  <si>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</si>
  <si>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</si>
  <si>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</si>
  <si>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</si>
  <si>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</si>
  <si>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</si>
  <si>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</si>
  <si>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</si>
  <si>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</si>
  <si>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</si>
  <si>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</si>
  <si>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</si>
  <si>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</si>
  <si>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</si>
  <si>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</si>
  <si>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</si>
  <si>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</si>
  <si>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</si>
  <si>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</si>
  <si>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</si>
  <si>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</si>
  <si>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</si>
  <si>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</si>
  <si>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</si>
  <si>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</si>
  <si>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</si>
  <si>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</si>
  <si>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</si>
  <si>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</si>
  <si>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</si>
  <si>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</si>
  <si>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</si>
  <si>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</si>
  <si>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</si>
  <si>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</si>
  <si>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</si>
  <si>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</si>
  <si>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</si>
  <si>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</si>
  <si>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</si>
  <si>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</si>
  <si>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</si>
  <si>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</si>
  <si>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</si>
  <si>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</si>
  <si>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</si>
  <si>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CENTRO-OESTE - RAIO DF 200KM</t>
  </si>
  <si>
    <t>BARUERI-BRASILIA</t>
  </si>
  <si>
    <t>179256</t>
  </si>
  <si>
    <t>1558026</t>
  </si>
  <si>
    <t>5150</t>
  </si>
  <si>
    <t>AXJ7C64</t>
  </si>
  <si>
    <t>BRASÍLIA - PLANO PILOTO, BRASÍLIA - DF</t>
  </si>
  <si>
    <t>SUDESTE - 1000KM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</si>
  <si>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</si>
  <si>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</si>
  <si>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</si>
  <si>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</si>
  <si>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</si>
  <si>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</si>
  <si>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</si>
  <si>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</si>
  <si>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</si>
  <si>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</si>
  <si>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</si>
  <si>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</si>
  <si>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</si>
  <si>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</si>
  <si>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</si>
  <si>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</si>
  <si>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</si>
  <si>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</si>
  <si>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</si>
  <si>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</si>
  <si>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</si>
  <si>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</si>
  <si>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</si>
  <si>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</si>
  <si>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</si>
  <si>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</si>
  <si>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</si>
  <si>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</si>
  <si>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SUDESTE - 1200KM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</si>
  <si>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</si>
  <si>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</si>
  <si>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</si>
  <si>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</si>
  <si>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</si>
  <si>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</si>
  <si>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</si>
  <si>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</si>
  <si>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</si>
  <si>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</si>
  <si>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</si>
  <si>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</si>
  <si>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</si>
  <si>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SUDESTE - BARUERI-NOVA SANTA RITA 1158KM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</si>
  <si>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</si>
  <si>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</si>
  <si>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</si>
  <si>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</si>
  <si>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</si>
  <si>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</si>
  <si>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</si>
  <si>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</si>
  <si>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</si>
  <si>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</si>
  <si>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</si>
  <si>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CENTRO-OESTE - RAIO DF 300KM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</si>
  <si>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</si>
  <si>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</si>
  <si>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</si>
  <si>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</si>
  <si>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</si>
  <si>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</si>
  <si>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</si>
  <si>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</si>
  <si>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</si>
  <si>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</si>
  <si>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</si>
  <si>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SUDESTE - 200KM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</si>
  <si>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</si>
  <si>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</si>
  <si>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</si>
  <si>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</si>
  <si>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</si>
  <si>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</si>
  <si>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</si>
  <si>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</si>
  <si>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</si>
  <si>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</si>
  <si>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</si>
  <si>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</si>
  <si>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</si>
  <si>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</si>
  <si>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</si>
  <si>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</si>
  <si>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</si>
  <si>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</si>
  <si>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</si>
  <si>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</si>
  <si>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</si>
  <si>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</si>
  <si>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</si>
  <si>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</si>
  <si>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</si>
  <si>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</si>
  <si>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</si>
  <si>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</si>
  <si>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</si>
  <si>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</si>
  <si>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</si>
  <si>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</si>
  <si>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</si>
  <si>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</si>
  <si>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</si>
  <si>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</si>
  <si>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</si>
  <si>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SUDESTE - RAIO SP 200KM</t>
  </si>
  <si>
    <t>179372</t>
  </si>
  <si>
    <t>1560418</t>
  </si>
  <si>
    <t>5186</t>
  </si>
  <si>
    <t>IYK5768</t>
  </si>
  <si>
    <t>EMF5785</t>
  </si>
  <si>
    <t>SUDESTE - GUARULHOS-FORTALEZA 2927KM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</si>
  <si>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</si>
  <si>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</si>
  <si>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</si>
  <si>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</si>
  <si>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</si>
  <si>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</si>
  <si>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</si>
  <si>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</si>
  <si>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</si>
  <si>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</si>
  <si>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</si>
  <si>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</si>
  <si>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</si>
  <si>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SUDESTE - GUARULHOS-CATALAO 653KM</t>
  </si>
  <si>
    <t>RAIO RS 200 KM</t>
  </si>
  <si>
    <t>179398</t>
  </si>
  <si>
    <t>1560658,1560658</t>
  </si>
  <si>
    <t>5202</t>
  </si>
  <si>
    <t>IYU7F17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</si>
  <si>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</si>
  <si>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</si>
  <si>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</si>
  <si>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</si>
  <si>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</si>
  <si>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</si>
  <si>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</si>
  <si>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</si>
  <si>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</si>
  <si>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</si>
  <si>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</si>
  <si>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</si>
  <si>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</si>
  <si>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</si>
  <si>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</si>
  <si>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</si>
  <si>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</si>
  <si>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</si>
  <si>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</si>
  <si>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</si>
  <si>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</si>
  <si>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</si>
  <si>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</si>
  <si>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</si>
  <si>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</si>
  <si>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</si>
  <si>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</si>
  <si>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</si>
  <si>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</si>
  <si>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</si>
  <si>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</si>
  <si>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</si>
  <si>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</si>
  <si>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</si>
  <si>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</si>
  <si>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SUL - RAIO PR 200KM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</si>
  <si>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</si>
  <si>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</si>
  <si>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</si>
  <si>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</si>
  <si>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</si>
  <si>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</si>
  <si>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</si>
  <si>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</si>
  <si>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</si>
  <si>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</si>
  <si>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</si>
  <si>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</si>
  <si>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</si>
  <si>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</si>
  <si>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</si>
  <si>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</si>
  <si>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</si>
  <si>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</si>
  <si>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</si>
  <si>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</si>
  <si>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</si>
  <si>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</si>
  <si>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</si>
  <si>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</si>
  <si>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</si>
  <si>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</si>
  <si>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</si>
  <si>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</si>
  <si>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</si>
  <si>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</si>
  <si>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</si>
  <si>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SUDESTE - RAIO SP 500KM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</si>
  <si>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</si>
  <si>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</si>
  <si>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</si>
  <si>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</si>
  <si>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</si>
  <si>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</si>
  <si>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</si>
  <si>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</si>
  <si>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</si>
  <si>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</si>
  <si>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</si>
  <si>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</si>
  <si>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</si>
  <si>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</si>
  <si>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</si>
  <si>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</si>
  <si>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</si>
  <si>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SUDESTE - 600KM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</si>
  <si>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</si>
  <si>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</si>
  <si>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</si>
  <si>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</si>
  <si>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</si>
  <si>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</si>
  <si>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</si>
  <si>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</si>
  <si>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</si>
  <si>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</si>
  <si>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</si>
  <si>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</si>
  <si>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</si>
  <si>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</si>
  <si>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</si>
  <si>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SUDESTE - RAIO SP 300KM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</si>
  <si>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</si>
  <si>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</si>
  <si>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</si>
  <si>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</si>
  <si>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</si>
  <si>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</si>
  <si>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</si>
  <si>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</si>
  <si>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</si>
  <si>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</si>
  <si>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</si>
  <si>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</si>
  <si>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</si>
  <si>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</si>
  <si>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</si>
  <si>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</si>
  <si>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</si>
  <si>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SUDESTE - 2700KM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</si>
  <si>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</si>
  <si>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</si>
  <si>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</si>
  <si>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</si>
  <si>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</si>
  <si>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</si>
  <si>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</si>
  <si>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</si>
  <si>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</si>
  <si>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</si>
  <si>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</si>
  <si>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</si>
  <si>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</si>
  <si>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</si>
  <si>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</si>
  <si>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</si>
  <si>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</si>
  <si>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</si>
  <si>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</si>
  <si>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</si>
  <si>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</si>
  <si>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</si>
  <si>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</si>
  <si>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</si>
  <si>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</si>
  <si>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</si>
  <si>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</si>
  <si>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</si>
  <si>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</si>
  <si>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</si>
  <si>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</si>
  <si>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</si>
  <si>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</si>
  <si>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</si>
  <si>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</si>
  <si>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</si>
  <si>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</si>
  <si>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</si>
  <si>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</si>
  <si>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</si>
  <si>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</si>
  <si>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</si>
  <si>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</si>
  <si>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</si>
  <si>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</si>
  <si>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</si>
  <si>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</si>
  <si>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</si>
  <si>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</si>
  <si>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</si>
  <si>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</si>
  <si>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</si>
  <si>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</si>
  <si>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</si>
  <si>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</si>
  <si>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SUDESTE - 400KM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</si>
  <si>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</si>
  <si>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</si>
  <si>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</si>
  <si>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</si>
  <si>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</si>
  <si>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</si>
  <si>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</si>
  <si>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</si>
  <si>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</si>
  <si>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</si>
  <si>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</si>
  <si>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</si>
  <si>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</si>
  <si>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</si>
  <si>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</si>
  <si>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</si>
  <si>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</si>
  <si>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</si>
  <si>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</si>
  <si>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</si>
  <si>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</si>
  <si>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</si>
  <si>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</si>
  <si>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</si>
  <si>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</si>
  <si>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</si>
  <si>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</si>
  <si>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</si>
  <si>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SUDESTE - BARUERI-GUARATINGUETA 223KM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</si>
  <si>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</si>
  <si>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</si>
  <si>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</si>
  <si>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</si>
  <si>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</si>
  <si>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</si>
  <si>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</si>
  <si>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</si>
  <si>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</si>
  <si>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</si>
  <si>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</si>
  <si>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</si>
  <si>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</si>
  <si>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</si>
  <si>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1568928</t>
  </si>
  <si>
    <t>5367</t>
  </si>
  <si>
    <t>GGJ2A55</t>
  </si>
  <si>
    <t>GUARULHOS, SP</t>
  </si>
  <si>
    <t>CONTAGEM - MG</t>
  </si>
  <si>
    <t>SUDESTE - GUARULHOS-CONTAGEM 486KM</t>
  </si>
  <si>
    <t>179918</t>
  </si>
  <si>
    <t>1569223</t>
  </si>
  <si>
    <t>5368</t>
  </si>
  <si>
    <t>179937</t>
  </si>
  <si>
    <t>1571144</t>
  </si>
  <si>
    <t>5373</t>
  </si>
  <si>
    <t>UFY6E51</t>
  </si>
  <si>
    <t>OVL1D03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</si>
  <si>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</si>
  <si>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</si>
  <si>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</si>
  <si>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</si>
  <si>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</si>
  <si>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</si>
  <si>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</si>
  <si>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OWM6A23</t>
  </si>
  <si>
    <t>180000</t>
  </si>
  <si>
    <t>1570412</t>
  </si>
  <si>
    <t>5391</t>
  </si>
  <si>
    <t>AKG5J88</t>
  </si>
  <si>
    <t>SUDESTE - GUARULHOS-CAJAMAR 100KM</t>
  </si>
  <si>
    <t>180015</t>
  </si>
  <si>
    <t>5397</t>
  </si>
  <si>
    <t>180026</t>
  </si>
  <si>
    <t>1571096</t>
  </si>
  <si>
    <t>5400</t>
  </si>
  <si>
    <t>SJD9H78</t>
  </si>
  <si>
    <t>NORDESTE - DISTRIBUIÇÃO PE 100KM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</si>
  <si>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</si>
  <si>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</si>
  <si>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</si>
  <si>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</si>
  <si>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</si>
  <si>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</si>
  <si>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</si>
  <si>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</si>
  <si>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</si>
  <si>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</si>
  <si>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</si>
  <si>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</si>
  <si>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</si>
  <si>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</si>
  <si>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</si>
  <si>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</si>
  <si>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</si>
  <si>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</si>
  <si>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</si>
  <si>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</si>
  <si>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</si>
  <si>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</si>
  <si>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SUDESTE - EXTREMA-CABEDELO 2650KM</t>
  </si>
  <si>
    <t>180084</t>
  </si>
  <si>
    <t>5435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</si>
  <si>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</si>
  <si>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</si>
  <si>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</si>
  <si>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</si>
  <si>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</si>
  <si>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</si>
  <si>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</si>
  <si>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</si>
  <si>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</si>
  <si>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SUDESTE - HORTOLÂNDIA-BARUERI 100KM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</si>
  <si>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</si>
  <si>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</si>
  <si>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</si>
  <si>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</si>
  <si>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</si>
  <si>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</si>
  <si>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</si>
  <si>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</si>
  <si>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</si>
  <si>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</si>
  <si>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</si>
  <si>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</si>
  <si>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</si>
  <si>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</si>
  <si>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</si>
  <si>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</si>
  <si>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</si>
  <si>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</si>
  <si>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</si>
  <si>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</si>
  <si>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</si>
  <si>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</si>
  <si>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</si>
  <si>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</si>
  <si>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</si>
  <si>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</si>
  <si>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</si>
  <si>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</si>
  <si>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</si>
  <si>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</si>
  <si>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</si>
  <si>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</si>
  <si>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</si>
  <si>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</si>
  <si>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</si>
  <si>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</si>
  <si>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</si>
  <si>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</si>
  <si>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</si>
  <si>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</si>
  <si>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</si>
  <si>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</si>
  <si>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</si>
  <si>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</si>
  <si>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</si>
  <si>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</si>
  <si>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</si>
  <si>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</si>
  <si>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</si>
  <si>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</si>
  <si>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</si>
  <si>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</si>
  <si>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</si>
  <si>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</si>
  <si>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</si>
  <si>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</si>
  <si>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</si>
  <si>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</si>
  <si>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</si>
  <si>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</si>
  <si>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</si>
  <si>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</si>
  <si>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</si>
  <si>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</si>
  <si>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</si>
  <si>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</si>
  <si>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</si>
  <si>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</si>
  <si>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</si>
  <si>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</si>
  <si>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</si>
  <si>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180236</t>
  </si>
  <si>
    <t>5472</t>
  </si>
  <si>
    <t>OKY2J35</t>
  </si>
  <si>
    <t>CENTRO-OESTE - DISTRIBUIÇÃO DF 100KM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</si>
  <si>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</si>
  <si>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</si>
  <si>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</si>
  <si>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</si>
  <si>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</si>
  <si>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</si>
  <si>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</si>
  <si>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</si>
  <si>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</si>
  <si>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</si>
  <si>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</si>
  <si>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</si>
  <si>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</si>
  <si>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</si>
  <si>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</si>
  <si>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</si>
  <si>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</si>
  <si>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</si>
  <si>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</si>
  <si>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</si>
  <si>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</si>
  <si>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</si>
  <si>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</si>
  <si>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</si>
  <si>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</si>
  <si>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</si>
  <si>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</si>
  <si>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</si>
  <si>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</si>
  <si>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</si>
  <si>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</si>
  <si>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</si>
  <si>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</si>
  <si>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</si>
  <si>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</si>
  <si>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</si>
  <si>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</si>
  <si>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</si>
  <si>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</si>
  <si>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</si>
  <si>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</si>
  <si>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</si>
  <si>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SUDESTE - BARUERI-EXTREMA 137KM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</si>
  <si>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</si>
  <si>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</si>
  <si>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</si>
  <si>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</si>
  <si>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</si>
  <si>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</si>
  <si>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</si>
  <si>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</si>
  <si>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</si>
  <si>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</si>
  <si>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</si>
  <si>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</si>
  <si>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</si>
  <si>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</si>
  <si>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</si>
  <si>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</si>
  <si>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</si>
  <si>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</si>
  <si>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</si>
  <si>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</si>
  <si>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</si>
  <si>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</si>
  <si>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</si>
  <si>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</si>
  <si>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</si>
  <si>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</si>
  <si>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</si>
  <si>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</si>
  <si>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</si>
  <si>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</si>
  <si>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</si>
  <si>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CENTRO-OESTE - RAIO GO 200KM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</si>
  <si>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</si>
  <si>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</si>
  <si>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</si>
  <si>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</si>
  <si>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</si>
  <si>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180441</t>
  </si>
  <si>
    <t>5536</t>
  </si>
  <si>
    <t>EM DESLOCAMENTO</t>
  </si>
  <si>
    <t>180442</t>
  </si>
  <si>
    <t>5541</t>
  </si>
  <si>
    <t>UDZ1E28</t>
  </si>
  <si>
    <t>180443</t>
  </si>
  <si>
    <t>5542</t>
  </si>
  <si>
    <t>180451</t>
  </si>
  <si>
    <t>5537</t>
  </si>
  <si>
    <t>TXW5H52</t>
  </si>
  <si>
    <t>ELV0700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</si>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</sst>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4" t="s">
        <v>47</v>
      </c>
      <c r="K2" s="5" t="s">
        <v>48</v>
      </c>
      <c r="L2" s="5" t="s">
        <v>49</v>
      </c>
      <c r="M2" s="5" t="s">
        <v>48</v>
      </c>
      <c r="N2" s="3" t="s">
        <v>49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  <c r="AO2" s="3" t="s">
        <v>50</v>
      </c>
      <c r="AP2" s="6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5" t="s">
        <v>57</v>
      </c>
      <c r="L3" s="5" t="s">
        <v>58</v>
      </c>
      <c r="M3" s="5" t="s">
        <v>57</v>
      </c>
      <c r="N3" s="3" t="s">
        <v>58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46161.55846064815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  <c r="AO3" s="3" t="s">
        <v>59</v>
      </c>
      <c r="AP3" s="6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5" t="s">
        <v>66</v>
      </c>
      <c r="L4" s="5" t="s">
        <v>67</v>
      </c>
      <c r="M4" s="5" t="s">
        <v>68</v>
      </c>
      <c r="N4" s="4" t="s">
        <v>47</v>
      </c>
      <c r="O4" s="6">
        <v>14337</v>
      </c>
      <c r="P4" s="6">
        <v>14390</v>
      </c>
      <c r="Q4" s="6">
        <v>200</v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  <c r="AO4" s="3" t="s">
        <v>69</v>
      </c>
      <c r="AP4" s="6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51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5" t="s">
        <v>57</v>
      </c>
      <c r="L5" s="5" t="s">
        <v>58</v>
      </c>
      <c r="M5" s="5" t="s">
        <v>57</v>
      </c>
      <c r="N5" s="3" t="s">
        <v>58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46161.57319444444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  <c r="AO5" s="3" t="s">
        <v>59</v>
      </c>
      <c r="AP5" s="6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75</v>
      </c>
      <c r="E6" s="3" t="s">
        <v>60</v>
      </c>
      <c r="F6" s="3" t="s">
        <v>76</v>
      </c>
      <c r="G6" s="3" t="s">
        <v>77</v>
      </c>
      <c r="H6" s="3" t="s">
        <v>78</v>
      </c>
      <c r="I6" s="4" t="s">
        <v>47</v>
      </c>
      <c r="J6" s="4" t="s">
        <v>47</v>
      </c>
      <c r="K6" s="5" t="s">
        <v>79</v>
      </c>
      <c r="L6" s="5" t="s">
        <v>67</v>
      </c>
      <c r="M6" s="5" t="s">
        <v>79</v>
      </c>
      <c r="N6" s="3" t="s">
        <v>67</v>
      </c>
      <c r="O6" s="6">
        <v>0</v>
      </c>
      <c r="P6" s="6">
        <v>0</v>
      </c>
      <c r="Q6" s="6">
        <v>0</v>
      </c>
      <c r="R6" s="7">
        <v>200</v>
      </c>
      <c r="S6" s="6">
        <f>IF(Q6-R6&lt;0,"0",Q6-R6)</f>
      </c>
      <c r="T6" s="6">
        <v>0</v>
      </c>
      <c r="U6" s="8">
        <v>46161.04166666667</v>
      </c>
      <c r="V6" s="8">
        <v>46161.04166666667</v>
      </c>
      <c r="W6" s="9">
        <f>V6-U6</f>
      </c>
      <c r="X6" s="10">
        <v>0.25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690</v>
      </c>
      <c r="AF6" s="12">
        <v>0</v>
      </c>
      <c r="AG6" s="12">
        <f>SUM(AB6:AF6)</f>
      </c>
      <c r="AH6" s="3"/>
      <c r="AI6" s="3"/>
      <c r="AJ6" s="3"/>
      <c r="AK6" s="3"/>
      <c r="AL6" s="3"/>
      <c r="AO6" s="3" t="s">
        <v>80</v>
      </c>
      <c r="AP6" s="6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86</v>
      </c>
      <c r="K7" s="5" t="s">
        <v>87</v>
      </c>
      <c r="L7" s="5" t="s">
        <v>88</v>
      </c>
      <c r="M7" s="5" t="s">
        <v>89</v>
      </c>
      <c r="N7" s="3" t="s">
        <v>88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  <c r="AO7" s="3" t="s">
        <v>90</v>
      </c>
      <c r="AP7" s="6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5" t="s">
        <v>97</v>
      </c>
      <c r="L8" s="5" t="s">
        <v>98</v>
      </c>
      <c r="M8" s="5" t="s">
        <v>99</v>
      </c>
      <c r="N8" s="4" t="s">
        <v>47</v>
      </c>
      <c r="O8" s="6">
        <v>241818</v>
      </c>
      <c r="P8" s="6">
        <v>241859</v>
      </c>
      <c r="Q8" s="6">
        <v>300</v>
      </c>
      <c r="R8" s="7">
        <v>300</v>
      </c>
      <c r="S8" s="6">
        <f>IF(Q8-R8&lt;0,"0",Q8-R8)</f>
      </c>
      <c r="T8" s="6">
        <v>0</v>
      </c>
      <c r="U8" s="8">
        <v>46161.3125</v>
      </c>
      <c r="V8" s="8">
        <v>46161.40613425926</v>
      </c>
      <c r="W8" s="9">
        <f>V8-U8</f>
      </c>
      <c r="X8" s="10">
        <v>0.2916666666666667</v>
      </c>
      <c r="Y8" s="9">
        <f>IF(W8-X8&lt;0,"00:00:00",W8-X8)</f>
      </c>
      <c r="Z8" s="11">
        <v>145</v>
      </c>
      <c r="AA8" s="11">
        <v>0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  <c r="AO8" s="3" t="s">
        <v>100</v>
      </c>
      <c r="AP8" s="6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101</v>
      </c>
      <c r="F9" s="3" t="s">
        <v>102</v>
      </c>
      <c r="G9" s="3" t="s">
        <v>103</v>
      </c>
      <c r="H9" s="3" t="s">
        <v>104</v>
      </c>
      <c r="I9" s="3" t="s">
        <v>105</v>
      </c>
      <c r="J9" s="3" t="s">
        <v>106</v>
      </c>
      <c r="K9" s="5" t="s">
        <v>107</v>
      </c>
      <c r="L9" s="5" t="s">
        <v>108</v>
      </c>
      <c r="M9" s="5" t="s">
        <v>109</v>
      </c>
      <c r="N9" s="3" t="s">
        <v>108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  <c r="AO9" s="3" t="s">
        <v>50</v>
      </c>
      <c r="AP9" s="6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60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5" t="s">
        <v>115</v>
      </c>
      <c r="L10" s="5" t="s">
        <v>67</v>
      </c>
      <c r="M10" s="5" t="s">
        <v>116</v>
      </c>
      <c r="N10" s="3" t="s">
        <v>67</v>
      </c>
      <c r="O10" s="6">
        <v>131753</v>
      </c>
      <c r="P10" s="6">
        <v>131769</v>
      </c>
      <c r="Q10" s="6">
        <v>200</v>
      </c>
      <c r="R10" s="7">
        <v>200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0.25</v>
      </c>
      <c r="Y10" s="9">
        <f>IF(W10-X10&lt;0,"00:00:00",W10-X10)</f>
      </c>
      <c r="Z10" s="11">
        <v>145</v>
      </c>
      <c r="AA10" s="11">
        <v>0</v>
      </c>
      <c r="AB10" s="12">
        <f>Y10*Z10*24</f>
      </c>
      <c r="AC10" s="12">
        <f>S10*AA10</f>
      </c>
      <c r="AD10" s="12">
        <f>T10*AA10</f>
      </c>
      <c r="AE10" s="11">
        <v>1380</v>
      </c>
      <c r="AF10" s="12">
        <v>5.9</v>
      </c>
      <c r="AG10" s="12">
        <f>SUM(AB10:AF10)</f>
      </c>
      <c r="AH10" s="3"/>
      <c r="AI10" s="3"/>
      <c r="AJ10" s="3"/>
      <c r="AK10" s="3"/>
      <c r="AL10" s="3"/>
      <c r="AO10" s="3" t="s">
        <v>80</v>
      </c>
      <c r="AP10" s="6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117</v>
      </c>
      <c r="E11" s="3" t="s">
        <v>118</v>
      </c>
      <c r="F11" s="3" t="s">
        <v>119</v>
      </c>
      <c r="G11" s="4" t="s">
        <v>47</v>
      </c>
      <c r="H11" s="3" t="s">
        <v>120</v>
      </c>
      <c r="I11" s="4" t="s">
        <v>47</v>
      </c>
      <c r="J11" s="4" t="s">
        <v>47</v>
      </c>
      <c r="K11" s="5" t="s">
        <v>121</v>
      </c>
      <c r="L11" s="5" t="s">
        <v>122</v>
      </c>
      <c r="M11" s="5" t="s">
        <v>99</v>
      </c>
      <c r="N11" s="4" t="s">
        <v>47</v>
      </c>
      <c r="O11" s="6">
        <v>0</v>
      </c>
      <c r="P11" s="6">
        <v>0</v>
      </c>
      <c r="Q11" s="6">
        <v>0</v>
      </c>
      <c r="R11" s="7">
        <v>100</v>
      </c>
      <c r="S11" s="6">
        <f>IF(Q11-R11&lt;0,"0",Q11-R11)</f>
      </c>
      <c r="T11" s="6">
        <v>0</v>
      </c>
      <c r="U11" s="8">
        <v>46161.375</v>
      </c>
      <c r="V11" s="8">
        <v>46161.375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690</v>
      </c>
      <c r="AF11" s="12">
        <v>0</v>
      </c>
      <c r="AG11" s="12">
        <f>SUM(AB11:AF11)</f>
      </c>
      <c r="AH11" s="3"/>
      <c r="AI11" s="3"/>
      <c r="AJ11" s="3"/>
      <c r="AK11" s="3"/>
      <c r="AL11" s="3"/>
      <c r="AO11" s="3" t="s">
        <v>69</v>
      </c>
      <c r="AP11" s="6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123</v>
      </c>
      <c r="F12" s="3" t="s">
        <v>124</v>
      </c>
      <c r="G12" s="3" t="s">
        <v>125</v>
      </c>
      <c r="H12" s="3" t="s">
        <v>126</v>
      </c>
      <c r="I12" s="3" t="s">
        <v>127</v>
      </c>
      <c r="J12" s="3" t="s">
        <v>128</v>
      </c>
      <c r="K12" s="5" t="s">
        <v>129</v>
      </c>
      <c r="L12" s="5" t="s">
        <v>67</v>
      </c>
      <c r="M12" s="5" t="s">
        <v>130</v>
      </c>
      <c r="N12" s="3" t="s">
        <v>67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46161.50854166667</v>
      </c>
      <c r="W12" s="9">
        <f>V12-U12</f>
      </c>
      <c r="X12" s="10">
        <v>0.16666666666666666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  <c r="AO12" s="3" t="s">
        <v>131</v>
      </c>
      <c r="AP12" s="6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123</v>
      </c>
      <c r="F13" s="3" t="s">
        <v>132</v>
      </c>
      <c r="G13" s="3" t="s">
        <v>125</v>
      </c>
      <c r="H13" s="3" t="s">
        <v>133</v>
      </c>
      <c r="I13" s="3" t="s">
        <v>134</v>
      </c>
      <c r="J13" s="3" t="s">
        <v>128</v>
      </c>
      <c r="K13" s="5" t="s">
        <v>129</v>
      </c>
      <c r="L13" s="5" t="s">
        <v>67</v>
      </c>
      <c r="M13" s="5" t="s">
        <v>130</v>
      </c>
      <c r="N13" s="3" t="s">
        <v>67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46161.511145833334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0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  <c r="AO13" s="3" t="s">
        <v>69</v>
      </c>
      <c r="AP13" s="6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123</v>
      </c>
      <c r="F14" s="3" t="s">
        <v>135</v>
      </c>
      <c r="G14" s="3" t="s">
        <v>125</v>
      </c>
      <c r="H14" s="3" t="s">
        <v>136</v>
      </c>
      <c r="I14" s="3" t="s">
        <v>137</v>
      </c>
      <c r="J14" s="3" t="s">
        <v>128</v>
      </c>
      <c r="K14" s="5" t="s">
        <v>129</v>
      </c>
      <c r="L14" s="5" t="s">
        <v>67</v>
      </c>
      <c r="M14" s="5" t="s">
        <v>130</v>
      </c>
      <c r="N14" s="3" t="s">
        <v>67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46161.510092592594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  <c r="AO14" s="3" t="s">
        <v>59</v>
      </c>
      <c r="AP14" s="6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123</v>
      </c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142</v>
      </c>
      <c r="K15" s="5" t="s">
        <v>115</v>
      </c>
      <c r="L15" s="5" t="s">
        <v>67</v>
      </c>
      <c r="M15" s="5" t="s">
        <v>143</v>
      </c>
      <c r="N15" s="3" t="s">
        <v>67</v>
      </c>
      <c r="O15" s="6">
        <v>29581</v>
      </c>
      <c r="P15" s="6">
        <v>29665</v>
      </c>
      <c r="Q15" s="6">
        <f>P15-O15</f>
      </c>
      <c r="R15" s="7">
        <v>0</v>
      </c>
      <c r="S15" s="6">
        <f>IF(Q15-R15&lt;0,"0",Q15-R15)</f>
      </c>
      <c r="T15" s="6">
        <v>0</v>
      </c>
      <c r="U15" s="8">
        <v>46161.5</v>
      </c>
      <c r="V15" s="8">
        <v>46161.6069675926</v>
      </c>
      <c r="W15" s="9">
        <f>V15-U15</f>
      </c>
      <c r="X15" s="10">
        <v>0</v>
      </c>
      <c r="Y15" s="9">
        <f>IF(W15-X15&lt;0,"00:00:00",W15-X15)</f>
      </c>
      <c r="Z15" s="11">
        <v>0</v>
      </c>
      <c r="AA15" s="11">
        <v>0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  <c r="AO15" s="3" t="s">
        <v>144</v>
      </c>
      <c r="AP15" s="6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123</v>
      </c>
      <c r="F16" s="3" t="s">
        <v>145</v>
      </c>
      <c r="G16" s="3" t="s">
        <v>146</v>
      </c>
      <c r="H16" s="3" t="s">
        <v>147</v>
      </c>
      <c r="I16" s="3" t="s">
        <v>148</v>
      </c>
      <c r="J16" s="3" t="s">
        <v>149</v>
      </c>
      <c r="K16" s="5" t="s">
        <v>115</v>
      </c>
      <c r="L16" s="5" t="s">
        <v>67</v>
      </c>
      <c r="M16" s="5" t="s">
        <v>143</v>
      </c>
      <c r="N16" s="3" t="s">
        <v>67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46161.73091435185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  <c r="AO16" s="3" t="s">
        <v>59</v>
      </c>
      <c r="AP16" s="6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155</v>
      </c>
      <c r="K17" s="5" t="s">
        <v>156</v>
      </c>
      <c r="L17" s="5" t="s">
        <v>122</v>
      </c>
      <c r="M17" s="5" t="s">
        <v>68</v>
      </c>
      <c r="N17" s="4" t="s">
        <v>47</v>
      </c>
      <c r="O17" s="6">
        <v>142359</v>
      </c>
      <c r="P17" s="6">
        <v>142486</v>
      </c>
      <c r="Q17" s="6">
        <v>200</v>
      </c>
      <c r="R17" s="7">
        <v>200</v>
      </c>
      <c r="S17" s="6">
        <f>IF(Q17-R17&lt;0,"0",Q17-R17)</f>
      </c>
      <c r="T17" s="6">
        <v>0</v>
      </c>
      <c r="U17" s="8">
        <v>46162.39583333333</v>
      </c>
      <c r="V17" s="8">
        <v>46162.599398148144</v>
      </c>
      <c r="W17" s="9">
        <f>V17-U17</f>
      </c>
      <c r="X17" s="10">
        <v>0.25</v>
      </c>
      <c r="Y17" s="9">
        <f>IF(W17-X17&lt;0,"00:00:00",W17-X17)</f>
      </c>
      <c r="Z17" s="11">
        <v>145</v>
      </c>
      <c r="AA17" s="11">
        <v>0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  <c r="AO17" s="3" t="s">
        <v>80</v>
      </c>
      <c r="AP17" s="6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157</v>
      </c>
      <c r="F18" s="3" t="s">
        <v>158</v>
      </c>
      <c r="G18" s="3" t="s">
        <v>159</v>
      </c>
      <c r="H18" s="3" t="s">
        <v>160</v>
      </c>
      <c r="I18" s="3" t="s">
        <v>46</v>
      </c>
      <c r="J18" s="3" t="s">
        <v>161</v>
      </c>
      <c r="K18" s="5" t="s">
        <v>162</v>
      </c>
      <c r="L18" s="5" t="s">
        <v>49</v>
      </c>
      <c r="M18" s="5" t="s">
        <v>163</v>
      </c>
      <c r="N18" s="3" t="s">
        <v>67</v>
      </c>
      <c r="O18" s="6">
        <v>298135</v>
      </c>
      <c r="P18" s="6">
        <v>298748</v>
      </c>
      <c r="Q18" s="6">
        <v>500</v>
      </c>
      <c r="R18" s="7">
        <v>500</v>
      </c>
      <c r="S18" s="6">
        <f>IF(Q18-R18&lt;0,"0",Q18-R18)</f>
      </c>
      <c r="T18" s="6">
        <v>0</v>
      </c>
      <c r="U18" s="8">
        <v>46161.72916666667</v>
      </c>
      <c r="V18" s="8">
        <v>46162.53583333333</v>
      </c>
      <c r="W18" s="9">
        <f>V18-U18</f>
      </c>
      <c r="X18" s="10">
        <v>0.4583333333333333</v>
      </c>
      <c r="Y18" s="9">
        <f>IF(W18-X18&lt;0,"00:00:00",W18-X18)</f>
      </c>
      <c r="Z18" s="11">
        <v>145</v>
      </c>
      <c r="AA18" s="11">
        <v>0</v>
      </c>
      <c r="AB18" s="12">
        <f>Y18*Z18*24</f>
      </c>
      <c r="AC18" s="12">
        <f>S18*AA18</f>
      </c>
      <c r="AD18" s="12">
        <f>T18*AA18</f>
      </c>
      <c r="AE18" s="11">
        <v>3450</v>
      </c>
      <c r="AF18" s="12">
        <v>46.4</v>
      </c>
      <c r="AG18" s="12">
        <f>SUM(AB18:AF18)</f>
      </c>
      <c r="AH18" s="3"/>
      <c r="AI18" s="3"/>
      <c r="AJ18" s="3"/>
      <c r="AK18" s="3"/>
      <c r="AL18" s="3"/>
      <c r="AO18" s="3" t="s">
        <v>164</v>
      </c>
      <c r="AP18" s="6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123</v>
      </c>
      <c r="F19" s="3" t="s">
        <v>165</v>
      </c>
      <c r="G19" s="3" t="s">
        <v>166</v>
      </c>
      <c r="H19" s="3" t="s">
        <v>167</v>
      </c>
      <c r="I19" s="3" t="s">
        <v>64</v>
      </c>
      <c r="J19" s="3" t="s">
        <v>168</v>
      </c>
      <c r="K19" s="5" t="s">
        <v>169</v>
      </c>
      <c r="L19" s="5" t="s">
        <v>67</v>
      </c>
      <c r="M19" s="5" t="s">
        <v>170</v>
      </c>
      <c r="N19" s="3" t="s">
        <v>171</v>
      </c>
      <c r="O19" s="6">
        <v>15059</v>
      </c>
      <c r="P19" s="6">
        <v>17769</v>
      </c>
      <c r="Q19" s="6">
        <f>P19-O19</f>
      </c>
      <c r="R19" s="7">
        <v>2970</v>
      </c>
      <c r="S19" s="6">
        <f>IF(Q19-R19&lt;0,"0",Q19-R19)</f>
      </c>
      <c r="T19" s="6">
        <v>0</v>
      </c>
      <c r="U19" s="8">
        <v>46161.75</v>
      </c>
      <c r="V19" s="8">
        <v>46168.35722222222</v>
      </c>
      <c r="W19" s="9">
        <f>V19-U19</f>
      </c>
      <c r="X19" s="10">
        <v>3.75</v>
      </c>
      <c r="Y19" s="9">
        <f>IF(W19-X19&lt;0,"00:00:00",W19-X19)</f>
      </c>
      <c r="Z19" s="11">
        <v>145</v>
      </c>
      <c r="AA19" s="11">
        <v>0</v>
      </c>
      <c r="AB19" s="12">
        <f>Y19*Z19*24</f>
      </c>
      <c r="AC19" s="12">
        <f>S19*AA19</f>
      </c>
      <c r="AD19" s="12">
        <f>T19*AA19</f>
      </c>
      <c r="AE19" s="11">
        <v>22776.75</v>
      </c>
      <c r="AF19" s="12">
        <v>150.9</v>
      </c>
      <c r="AG19" s="12">
        <f>SUM(AB19:AF19)</f>
      </c>
      <c r="AH19" s="3"/>
      <c r="AI19" s="3"/>
      <c r="AJ19" s="3"/>
      <c r="AK19" s="3"/>
      <c r="AL19" s="3"/>
      <c r="AO19" s="3" t="s">
        <v>172</v>
      </c>
      <c r="AP19" s="6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123</v>
      </c>
      <c r="F20" s="3" t="s">
        <v>173</v>
      </c>
      <c r="G20" s="3" t="s">
        <v>174</v>
      </c>
      <c r="H20" s="3" t="s">
        <v>175</v>
      </c>
      <c r="I20" s="3" t="s">
        <v>176</v>
      </c>
      <c r="J20" s="3" t="s">
        <v>177</v>
      </c>
      <c r="K20" s="5" t="s">
        <v>178</v>
      </c>
      <c r="L20" s="5" t="s">
        <v>67</v>
      </c>
      <c r="M20" s="5" t="s">
        <v>179</v>
      </c>
      <c r="N20" s="4" t="s">
        <v>47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46162.7860300926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  <c r="AO20" s="3" t="s">
        <v>59</v>
      </c>
      <c r="AP20" s="6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60</v>
      </c>
      <c r="F21" s="3" t="s">
        <v>180</v>
      </c>
      <c r="G21" s="3" t="s">
        <v>181</v>
      </c>
      <c r="H21" s="3" t="s">
        <v>182</v>
      </c>
      <c r="I21" s="3" t="s">
        <v>183</v>
      </c>
      <c r="J21" s="3" t="s">
        <v>184</v>
      </c>
      <c r="K21" s="5" t="s">
        <v>79</v>
      </c>
      <c r="L21" s="5" t="s">
        <v>67</v>
      </c>
      <c r="M21" s="5" t="s">
        <v>68</v>
      </c>
      <c r="N21" s="4" t="s">
        <v>47</v>
      </c>
      <c r="O21" s="6">
        <v>34016</v>
      </c>
      <c r="P21" s="6">
        <v>34125</v>
      </c>
      <c r="Q21" s="6">
        <v>200</v>
      </c>
      <c r="R21" s="7">
        <v>200</v>
      </c>
      <c r="S21" s="6">
        <f>IF(Q21-R21&lt;0,"0",Q21-R21)</f>
      </c>
      <c r="T21" s="6">
        <v>0</v>
      </c>
      <c r="U21" s="8">
        <v>46162.375</v>
      </c>
      <c r="V21" s="8">
        <v>46162.51627314815</v>
      </c>
      <c r="W21" s="9">
        <f>V21-U21</f>
      </c>
      <c r="X21" s="10">
        <v>0.25</v>
      </c>
      <c r="Y21" s="9">
        <f>IF(W21-X21&lt;0,"00:00:00",W21-X21)</f>
      </c>
      <c r="Z21" s="11">
        <v>145</v>
      </c>
      <c r="AA21" s="11">
        <v>0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  <c r="AO21" s="3" t="s">
        <v>80</v>
      </c>
      <c r="AP21" s="6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123</v>
      </c>
      <c r="F22" s="3" t="s">
        <v>185</v>
      </c>
      <c r="G22" s="3" t="s">
        <v>186</v>
      </c>
      <c r="H22" s="3" t="s">
        <v>187</v>
      </c>
      <c r="I22" s="3" t="s">
        <v>188</v>
      </c>
      <c r="J22" s="3" t="s">
        <v>189</v>
      </c>
      <c r="K22" s="5" t="s">
        <v>190</v>
      </c>
      <c r="L22" s="5" t="s">
        <v>67</v>
      </c>
      <c r="M22" s="5" t="s">
        <v>191</v>
      </c>
      <c r="N22" s="3" t="s">
        <v>67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46162.43001157408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  <c r="AO22" s="3" t="s">
        <v>59</v>
      </c>
      <c r="AP22" s="6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123</v>
      </c>
      <c r="F23" s="3" t="s">
        <v>192</v>
      </c>
      <c r="G23" s="3" t="s">
        <v>193</v>
      </c>
      <c r="H23" s="3" t="s">
        <v>194</v>
      </c>
      <c r="I23" s="3" t="s">
        <v>141</v>
      </c>
      <c r="J23" s="3" t="s">
        <v>114</v>
      </c>
      <c r="K23" s="5" t="s">
        <v>190</v>
      </c>
      <c r="L23" s="5" t="s">
        <v>67</v>
      </c>
      <c r="M23" s="5" t="s">
        <v>129</v>
      </c>
      <c r="N23" s="3" t="s">
        <v>67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46161.96251157408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  <c r="AO23" s="3" t="s">
        <v>59</v>
      </c>
      <c r="AP23" s="6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195</v>
      </c>
      <c r="F24" s="3" t="s">
        <v>196</v>
      </c>
      <c r="G24" s="3" t="s">
        <v>197</v>
      </c>
      <c r="H24" s="3" t="s">
        <v>198</v>
      </c>
      <c r="I24" s="3" t="s">
        <v>199</v>
      </c>
      <c r="J24" s="3" t="s">
        <v>200</v>
      </c>
      <c r="K24" s="5" t="s">
        <v>115</v>
      </c>
      <c r="L24" s="5" t="s">
        <v>67</v>
      </c>
      <c r="M24" s="5" t="s">
        <v>201</v>
      </c>
      <c r="N24" s="3" t="s">
        <v>98</v>
      </c>
      <c r="O24" s="6">
        <v>197811</v>
      </c>
      <c r="P24" s="6">
        <v>198688</v>
      </c>
      <c r="Q24" s="6">
        <f>P24-O24</f>
      </c>
      <c r="R24" s="7">
        <v>758</v>
      </c>
      <c r="S24" s="6">
        <f>IF(Q24-R24&lt;0,"0",Q24-R24)</f>
      </c>
      <c r="T24" s="6">
        <v>0</v>
      </c>
      <c r="U24" s="8">
        <v>46162.29166666667</v>
      </c>
      <c r="V24" s="8">
        <v>46164.345717592594</v>
      </c>
      <c r="W24" s="9">
        <f>V24-U24</f>
      </c>
      <c r="X24" s="10">
        <v>1.4166666666666667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7412.45</v>
      </c>
      <c r="AF24" s="12">
        <v>85.3</v>
      </c>
      <c r="AG24" s="12">
        <f>SUM(AB24:AF24)</f>
      </c>
      <c r="AH24" s="3"/>
      <c r="AI24" s="3"/>
      <c r="AJ24" s="3"/>
      <c r="AK24" s="3"/>
      <c r="AL24" s="3"/>
      <c r="AO24" s="3" t="s">
        <v>202</v>
      </c>
      <c r="AP24" s="6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41</v>
      </c>
      <c r="E25" s="3" t="s">
        <v>60</v>
      </c>
      <c r="F25" s="3" t="s">
        <v>203</v>
      </c>
      <c r="G25" s="3" t="s">
        <v>204</v>
      </c>
      <c r="H25" s="3" t="s">
        <v>205</v>
      </c>
      <c r="I25" s="3" t="s">
        <v>206</v>
      </c>
      <c r="J25" s="3" t="s">
        <v>207</v>
      </c>
      <c r="K25" s="5" t="s">
        <v>79</v>
      </c>
      <c r="L25" s="5" t="s">
        <v>67</v>
      </c>
      <c r="M25" s="5" t="s">
        <v>68</v>
      </c>
      <c r="N25" s="4" t="s">
        <v>47</v>
      </c>
      <c r="O25" s="6">
        <v>46497</v>
      </c>
      <c r="P25" s="6">
        <v>46698</v>
      </c>
      <c r="Q25" s="6">
        <v>200</v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46162.08490740741</v>
      </c>
      <c r="W25" s="9">
        <f>V25-U25</f>
      </c>
      <c r="X25" s="10">
        <v>0.25</v>
      </c>
      <c r="Y25" s="9">
        <f>IF(W25-X25&lt;0,"00:00:00",W25-X25)</f>
      </c>
      <c r="Z25" s="11">
        <v>145</v>
      </c>
      <c r="AA25" s="11">
        <v>0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  <c r="AO25" s="3" t="s">
        <v>80</v>
      </c>
      <c r="AP25" s="6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195</v>
      </c>
      <c r="F26" s="3" t="s">
        <v>208</v>
      </c>
      <c r="G26" s="3" t="s">
        <v>209</v>
      </c>
      <c r="H26" s="3" t="s">
        <v>210</v>
      </c>
      <c r="I26" s="3" t="s">
        <v>211</v>
      </c>
      <c r="J26" s="3" t="s">
        <v>212</v>
      </c>
      <c r="K26" s="5" t="s">
        <v>115</v>
      </c>
      <c r="L26" s="5" t="s">
        <v>67</v>
      </c>
      <c r="M26" s="5" t="s">
        <v>201</v>
      </c>
      <c r="N26" s="3" t="s">
        <v>98</v>
      </c>
      <c r="O26" s="6">
        <v>421294</v>
      </c>
      <c r="P26" s="6">
        <v>422178</v>
      </c>
      <c r="Q26" s="6">
        <f>P26-O26</f>
      </c>
      <c r="R26" s="7">
        <v>758</v>
      </c>
      <c r="S26" s="6">
        <f>IF(Q26-R26&lt;0,"0",Q26-R26)</f>
      </c>
      <c r="T26" s="6">
        <v>0</v>
      </c>
      <c r="U26" s="8">
        <v>46162.20833333333</v>
      </c>
      <c r="V26" s="8">
        <v>46164.7028125</v>
      </c>
      <c r="W26" s="9">
        <f>V26-U26</f>
      </c>
      <c r="X26" s="10">
        <v>1.4166666666666667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7412.45</v>
      </c>
      <c r="AF26" s="12">
        <v>85.3</v>
      </c>
      <c r="AG26" s="12">
        <f>SUM(AB26:AF26)</f>
      </c>
      <c r="AH26" s="3"/>
      <c r="AI26" s="3"/>
      <c r="AJ26" s="3"/>
      <c r="AK26" s="3"/>
      <c r="AL26" s="3"/>
      <c r="AO26" s="3" t="s">
        <v>202</v>
      </c>
      <c r="AP26" s="6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42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5" t="s">
        <v>48</v>
      </c>
      <c r="L27" s="5" t="s">
        <v>49</v>
      </c>
      <c r="M27" s="5" t="s">
        <v>48</v>
      </c>
      <c r="N27" s="3" t="s">
        <v>49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735</v>
      </c>
      <c r="AF27" s="12">
        <v>0</v>
      </c>
      <c r="AG27" s="12">
        <f>SUM(AB27:AF27)</f>
      </c>
      <c r="AH27" s="3"/>
      <c r="AI27" s="3"/>
      <c r="AJ27" s="3"/>
      <c r="AK27" s="3"/>
      <c r="AL27" s="3"/>
      <c r="AO27" s="3" t="s">
        <v>50</v>
      </c>
      <c r="AP27" s="6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222</v>
      </c>
      <c r="J28" s="4" t="s">
        <v>47</v>
      </c>
      <c r="K28" s="5" t="s">
        <v>169</v>
      </c>
      <c r="L28" s="5" t="s">
        <v>67</v>
      </c>
      <c r="M28" s="5" t="s">
        <v>223</v>
      </c>
      <c r="N28" s="4" t="s">
        <v>47</v>
      </c>
      <c r="O28" s="6">
        <v>108612</v>
      </c>
      <c r="P28" s="6">
        <v>108672</v>
      </c>
      <c r="Q28" s="6">
        <v>400</v>
      </c>
      <c r="R28" s="7">
        <v>400</v>
      </c>
      <c r="S28" s="6">
        <f>IF(Q28-R28&lt;0,"0",Q28-R28)</f>
      </c>
      <c r="T28" s="6">
        <v>0</v>
      </c>
      <c r="U28" s="8">
        <v>46162.14583333333</v>
      </c>
      <c r="V28" s="8">
        <v>46162.23929398148</v>
      </c>
      <c r="W28" s="9">
        <f>V28-U28</f>
      </c>
      <c r="X28" s="10">
        <v>0.375</v>
      </c>
      <c r="Y28" s="9">
        <f>IF(W28-X28&lt;0,"00:00:00",W28-X28)</f>
      </c>
      <c r="Z28" s="11">
        <v>145</v>
      </c>
      <c r="AA28" s="11">
        <v>0</v>
      </c>
      <c r="AB28" s="12">
        <f>Y28*Z28*24</f>
      </c>
      <c r="AC28" s="12">
        <f>S28*AA28</f>
      </c>
      <c r="AD28" s="12">
        <f>T28*AA28</f>
      </c>
      <c r="AE28" s="11">
        <v>2760</v>
      </c>
      <c r="AF28" s="12">
        <v>13.7</v>
      </c>
      <c r="AG28" s="12">
        <f>SUM(AB28:AF28)</f>
      </c>
      <c r="AH28" s="3"/>
      <c r="AI28" s="3"/>
      <c r="AJ28" s="3"/>
      <c r="AK28" s="3"/>
      <c r="AL28" s="3"/>
      <c r="AO28" s="3" t="s">
        <v>224</v>
      </c>
      <c r="AP28" s="6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195</v>
      </c>
      <c r="F29" s="3" t="s">
        <v>225</v>
      </c>
      <c r="G29" s="3" t="s">
        <v>226</v>
      </c>
      <c r="H29" s="3" t="s">
        <v>227</v>
      </c>
      <c r="I29" s="3" t="s">
        <v>228</v>
      </c>
      <c r="J29" s="3" t="s">
        <v>229</v>
      </c>
      <c r="K29" s="5" t="s">
        <v>115</v>
      </c>
      <c r="L29" s="5" t="s">
        <v>67</v>
      </c>
      <c r="M29" s="5" t="s">
        <v>201</v>
      </c>
      <c r="N29" s="3" t="s">
        <v>98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46163.08554398148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  <c r="AO29" s="3" t="s">
        <v>230</v>
      </c>
      <c r="AP29" s="6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123</v>
      </c>
      <c r="F30" s="3" t="s">
        <v>231</v>
      </c>
      <c r="G30" s="3" t="s">
        <v>232</v>
      </c>
      <c r="H30" s="3" t="s">
        <v>233</v>
      </c>
      <c r="I30" s="3" t="s">
        <v>234</v>
      </c>
      <c r="J30" s="3" t="s">
        <v>235</v>
      </c>
      <c r="K30" s="5" t="s">
        <v>143</v>
      </c>
      <c r="L30" s="5" t="s">
        <v>67</v>
      </c>
      <c r="M30" s="5" t="s">
        <v>236</v>
      </c>
      <c r="N30" s="3" t="s">
        <v>67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  <c r="AO30" s="3" t="s">
        <v>59</v>
      </c>
      <c r="AP30" s="6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41</v>
      </c>
      <c r="E31" s="3" t="s">
        <v>101</v>
      </c>
      <c r="F31" s="3" t="s">
        <v>237</v>
      </c>
      <c r="G31" s="3" t="s">
        <v>238</v>
      </c>
      <c r="H31" s="3" t="s">
        <v>239</v>
      </c>
      <c r="I31" s="3" t="s">
        <v>240</v>
      </c>
      <c r="J31" s="3" t="s">
        <v>241</v>
      </c>
      <c r="K31" s="5" t="s">
        <v>107</v>
      </c>
      <c r="L31" s="5" t="s">
        <v>108</v>
      </c>
      <c r="M31" s="5" t="s">
        <v>109</v>
      </c>
      <c r="N31" s="3" t="s">
        <v>108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0</v>
      </c>
      <c r="AB31" s="12">
        <f>Y31*Z31*24</f>
      </c>
      <c r="AC31" s="12">
        <f>S31*AA31</f>
      </c>
      <c r="AD31" s="12">
        <f>T31*AA31</f>
      </c>
      <c r="AE31" s="11">
        <v>735</v>
      </c>
      <c r="AF31" s="12">
        <v>0</v>
      </c>
      <c r="AG31" s="12">
        <f>SUM(AB31:AF31)</f>
      </c>
      <c r="AH31" s="3"/>
      <c r="AI31" s="3"/>
      <c r="AJ31" s="3"/>
      <c r="AK31" s="3"/>
      <c r="AL31" s="3"/>
      <c r="AO31" s="3" t="s">
        <v>242</v>
      </c>
      <c r="AP31" s="6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243</v>
      </c>
      <c r="F32" s="3" t="s">
        <v>244</v>
      </c>
      <c r="G32" s="3" t="s">
        <v>245</v>
      </c>
      <c r="H32" s="3" t="s">
        <v>246</v>
      </c>
      <c r="I32" s="3" t="s">
        <v>247</v>
      </c>
      <c r="J32" s="3" t="s">
        <v>248</v>
      </c>
      <c r="K32" s="5" t="s">
        <v>249</v>
      </c>
      <c r="L32" s="5" t="s">
        <v>250</v>
      </c>
      <c r="M32" s="5" t="s">
        <v>251</v>
      </c>
      <c r="N32" s="3" t="s">
        <v>250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  <c r="AO32" s="3" t="s">
        <v>90</v>
      </c>
      <c r="AP32" s="6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60</v>
      </c>
      <c r="F33" s="3" t="s">
        <v>252</v>
      </c>
      <c r="G33" s="3" t="s">
        <v>253</v>
      </c>
      <c r="H33" s="3" t="s">
        <v>254</v>
      </c>
      <c r="I33" s="3" t="s">
        <v>255</v>
      </c>
      <c r="J33" s="3" t="s">
        <v>256</v>
      </c>
      <c r="K33" s="5" t="s">
        <v>66</v>
      </c>
      <c r="L33" s="5" t="s">
        <v>67</v>
      </c>
      <c r="M33" s="5" t="s">
        <v>68</v>
      </c>
      <c r="N33" s="4" t="s">
        <v>47</v>
      </c>
      <c r="O33" s="6">
        <v>498198</v>
      </c>
      <c r="P33" s="6">
        <v>498399</v>
      </c>
      <c r="Q33" s="6">
        <v>200</v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46162.555439814816</v>
      </c>
      <c r="W33" s="9">
        <f>V33-U33</f>
      </c>
      <c r="X33" s="10">
        <v>0.25</v>
      </c>
      <c r="Y33" s="9">
        <f>IF(W33-X33&lt;0,"00:00:00",W33-X33)</f>
      </c>
      <c r="Z33" s="11">
        <v>145</v>
      </c>
      <c r="AA33" s="11">
        <v>0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  <c r="AO33" s="3" t="s">
        <v>80</v>
      </c>
      <c r="AP33" s="6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218</v>
      </c>
      <c r="F34" s="3" t="s">
        <v>257</v>
      </c>
      <c r="G34" s="3" t="s">
        <v>258</v>
      </c>
      <c r="H34" s="3" t="s">
        <v>259</v>
      </c>
      <c r="I34" s="3" t="s">
        <v>260</v>
      </c>
      <c r="J34" s="3" t="s">
        <v>261</v>
      </c>
      <c r="K34" s="5" t="s">
        <v>115</v>
      </c>
      <c r="L34" s="5" t="s">
        <v>67</v>
      </c>
      <c r="M34" s="5" t="s">
        <v>223</v>
      </c>
      <c r="N34" s="4" t="s">
        <v>47</v>
      </c>
      <c r="O34" s="6">
        <v>30412</v>
      </c>
      <c r="P34" s="6">
        <v>30458</v>
      </c>
      <c r="Q34" s="6">
        <v>400</v>
      </c>
      <c r="R34" s="7">
        <v>400</v>
      </c>
      <c r="S34" s="6">
        <f>IF(Q34-R34&lt;0,"0",Q34-R34)</f>
      </c>
      <c r="T34" s="6">
        <v>0</v>
      </c>
      <c r="U34" s="8">
        <v>46162.381944444445</v>
      </c>
      <c r="V34" s="8">
        <v>46162.489745370374</v>
      </c>
      <c r="W34" s="9">
        <f>V34-U34</f>
      </c>
      <c r="X34" s="10">
        <v>0.375</v>
      </c>
      <c r="Y34" s="9">
        <f>IF(W34-X34&lt;0,"00:00:00",W34-X34)</f>
      </c>
      <c r="Z34" s="11">
        <v>145</v>
      </c>
      <c r="AA34" s="11">
        <v>0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  <c r="AO34" s="3" t="s">
        <v>224</v>
      </c>
      <c r="AP34" s="6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195</v>
      </c>
      <c r="F35" s="3" t="s">
        <v>262</v>
      </c>
      <c r="G35" s="3" t="s">
        <v>263</v>
      </c>
      <c r="H35" s="3" t="s">
        <v>264</v>
      </c>
      <c r="I35" s="3" t="s">
        <v>265</v>
      </c>
      <c r="J35" s="3" t="s">
        <v>266</v>
      </c>
      <c r="K35" s="5" t="s">
        <v>169</v>
      </c>
      <c r="L35" s="5" t="s">
        <v>67</v>
      </c>
      <c r="M35" s="5" t="s">
        <v>267</v>
      </c>
      <c r="N35" s="3" t="s">
        <v>98</v>
      </c>
      <c r="O35" s="6">
        <v>3454</v>
      </c>
      <c r="P35" s="6">
        <v>4321</v>
      </c>
      <c r="Q35" s="6">
        <f>P35-O35</f>
      </c>
      <c r="R35" s="7">
        <v>758</v>
      </c>
      <c r="S35" s="6">
        <f>IF(Q35-R35&lt;0,"0",Q35-R35)</f>
      </c>
      <c r="T35" s="6">
        <v>0</v>
      </c>
      <c r="U35" s="8">
        <v>46163.16666666667</v>
      </c>
      <c r="V35" s="8">
        <v>46164.51821759259</v>
      </c>
      <c r="W35" s="9">
        <f>V35-U35</f>
      </c>
      <c r="X35" s="10">
        <v>1.4166666666666667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7412.45</v>
      </c>
      <c r="AF35" s="12">
        <v>85.3</v>
      </c>
      <c r="AG35" s="12">
        <f>SUM(AB35:AF35)</f>
      </c>
      <c r="AH35" s="3"/>
      <c r="AI35" s="3"/>
      <c r="AJ35" s="3"/>
      <c r="AK35" s="3"/>
      <c r="AL35" s="3"/>
      <c r="AO35" s="3" t="s">
        <v>202</v>
      </c>
      <c r="AP35" s="6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268</v>
      </c>
      <c r="F36" s="3" t="s">
        <v>269</v>
      </c>
      <c r="G36" s="3" t="s">
        <v>270</v>
      </c>
      <c r="H36" s="3" t="s">
        <v>271</v>
      </c>
      <c r="I36" s="3" t="s">
        <v>272</v>
      </c>
      <c r="J36" s="3" t="s">
        <v>273</v>
      </c>
      <c r="K36" s="5" t="s">
        <v>274</v>
      </c>
      <c r="L36" s="5" t="s">
        <v>67</v>
      </c>
      <c r="M36" s="5" t="s">
        <v>79</v>
      </c>
      <c r="N36" s="3" t="s">
        <v>67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  <c r="AO36" s="3" t="s">
        <v>59</v>
      </c>
      <c r="AP36" s="6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275</v>
      </c>
      <c r="F37" s="3" t="s">
        <v>276</v>
      </c>
      <c r="G37" s="3" t="s">
        <v>277</v>
      </c>
      <c r="H37" s="3" t="s">
        <v>278</v>
      </c>
      <c r="I37" s="3" t="s">
        <v>279</v>
      </c>
      <c r="J37" s="3" t="s">
        <v>280</v>
      </c>
      <c r="K37" s="5" t="s">
        <v>281</v>
      </c>
      <c r="L37" s="5" t="s">
        <v>98</v>
      </c>
      <c r="M37" s="5" t="s">
        <v>282</v>
      </c>
      <c r="N37" s="3" t="s">
        <v>98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46163.45612268518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  <c r="AO37" s="3" t="s">
        <v>59</v>
      </c>
      <c r="AP37" s="6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283</v>
      </c>
      <c r="F38" s="3" t="s">
        <v>284</v>
      </c>
      <c r="G38" s="3" t="s">
        <v>285</v>
      </c>
      <c r="H38" s="3" t="s">
        <v>286</v>
      </c>
      <c r="I38" s="3" t="s">
        <v>260</v>
      </c>
      <c r="J38" s="3" t="s">
        <v>287</v>
      </c>
      <c r="K38" s="5" t="s">
        <v>288</v>
      </c>
      <c r="L38" s="5" t="s">
        <v>67</v>
      </c>
      <c r="M38" s="5" t="s">
        <v>289</v>
      </c>
      <c r="N38" s="3" t="s">
        <v>67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46162.900300925925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  <c r="AO38" s="3" t="s">
        <v>59</v>
      </c>
      <c r="AP38" s="6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283</v>
      </c>
      <c r="F39" s="3" t="s">
        <v>290</v>
      </c>
      <c r="G39" s="3" t="s">
        <v>285</v>
      </c>
      <c r="H39" s="3" t="s">
        <v>291</v>
      </c>
      <c r="I39" s="3" t="s">
        <v>272</v>
      </c>
      <c r="J39" s="3" t="s">
        <v>287</v>
      </c>
      <c r="K39" s="5" t="s">
        <v>288</v>
      </c>
      <c r="L39" s="5" t="s">
        <v>67</v>
      </c>
      <c r="M39" s="5" t="s">
        <v>289</v>
      </c>
      <c r="N39" s="3" t="s">
        <v>67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46162.896203703705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  <c r="AO39" s="3" t="s">
        <v>59</v>
      </c>
      <c r="AP39" s="6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42</v>
      </c>
      <c r="F40" s="3" t="s">
        <v>292</v>
      </c>
      <c r="G40" s="3" t="s">
        <v>293</v>
      </c>
      <c r="H40" s="3" t="s">
        <v>294</v>
      </c>
      <c r="I40" s="3" t="s">
        <v>295</v>
      </c>
      <c r="J40" s="3" t="s">
        <v>296</v>
      </c>
      <c r="K40" s="5" t="s">
        <v>297</v>
      </c>
      <c r="L40" s="5" t="s">
        <v>49</v>
      </c>
      <c r="M40" s="5" t="s">
        <v>298</v>
      </c>
      <c r="N40" s="3" t="s">
        <v>49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  <c r="AO40" s="3" t="s">
        <v>50</v>
      </c>
      <c r="AP40" s="6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117</v>
      </c>
      <c r="E41" s="3" t="s">
        <v>60</v>
      </c>
      <c r="F41" s="3" t="s">
        <v>299</v>
      </c>
      <c r="G41" s="3" t="s">
        <v>300</v>
      </c>
      <c r="H41" s="3" t="s">
        <v>301</v>
      </c>
      <c r="I41" s="3" t="s">
        <v>272</v>
      </c>
      <c r="J41" s="3" t="s">
        <v>161</v>
      </c>
      <c r="K41" s="5" t="s">
        <v>66</v>
      </c>
      <c r="L41" s="5" t="s">
        <v>67</v>
      </c>
      <c r="M41" s="5" t="s">
        <v>68</v>
      </c>
      <c r="N41" s="4" t="s">
        <v>47</v>
      </c>
      <c r="O41" s="6">
        <v>0</v>
      </c>
      <c r="P41" s="6">
        <v>0</v>
      </c>
      <c r="Q41" s="6">
        <v>0</v>
      </c>
      <c r="R41" s="7">
        <v>200</v>
      </c>
      <c r="S41" s="6">
        <f>IF(Q41-R41&lt;0,"0",Q41-R41)</f>
      </c>
      <c r="T41" s="6">
        <v>0</v>
      </c>
      <c r="U41" s="8">
        <v>46163.08333333333</v>
      </c>
      <c r="V41" s="8">
        <v>46163.08333333333</v>
      </c>
      <c r="W41" s="9">
        <f>V41-U41</f>
      </c>
      <c r="X41" s="10">
        <v>0.25</v>
      </c>
      <c r="Y41" s="9">
        <f>IF(W41-X41&lt;0,"00:00:00",W41-X41)</f>
      </c>
      <c r="Z41" s="11">
        <v>145</v>
      </c>
      <c r="AA41" s="11">
        <v>0</v>
      </c>
      <c r="AB41" s="12">
        <f>Y41*Z41*24</f>
      </c>
      <c r="AC41" s="12">
        <f>S41*AA41</f>
      </c>
      <c r="AD41" s="12">
        <f>T41*AA41</f>
      </c>
      <c r="AE41" s="11">
        <v>690</v>
      </c>
      <c r="AF41" s="12">
        <v>0</v>
      </c>
      <c r="AG41" s="12">
        <f>SUM(AB41:AF41)</f>
      </c>
      <c r="AH41" s="3"/>
      <c r="AI41" s="3"/>
      <c r="AJ41" s="3"/>
      <c r="AK41" s="3"/>
      <c r="AL41" s="3"/>
      <c r="AO41" s="3" t="s">
        <v>80</v>
      </c>
      <c r="AP41" s="6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123</v>
      </c>
      <c r="F42" s="3" t="s">
        <v>302</v>
      </c>
      <c r="G42" s="3" t="s">
        <v>303</v>
      </c>
      <c r="H42" s="3" t="s">
        <v>304</v>
      </c>
      <c r="I42" s="3" t="s">
        <v>305</v>
      </c>
      <c r="J42" s="3" t="s">
        <v>306</v>
      </c>
      <c r="K42" s="5" t="s">
        <v>143</v>
      </c>
      <c r="L42" s="5" t="s">
        <v>67</v>
      </c>
      <c r="M42" s="5" t="s">
        <v>236</v>
      </c>
      <c r="N42" s="3" t="s">
        <v>67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46163.37090277778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  <c r="AO42" s="3" t="s">
        <v>59</v>
      </c>
      <c r="AP42" s="6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117</v>
      </c>
      <c r="E43" s="3" t="s">
        <v>307</v>
      </c>
      <c r="F43" s="3" t="s">
        <v>308</v>
      </c>
      <c r="G43" s="3" t="s">
        <v>309</v>
      </c>
      <c r="H43" s="3" t="s">
        <v>310</v>
      </c>
      <c r="I43" s="3" t="s">
        <v>311</v>
      </c>
      <c r="J43" s="3" t="s">
        <v>312</v>
      </c>
      <c r="K43" s="5" t="s">
        <v>313</v>
      </c>
      <c r="L43" s="5" t="s">
        <v>122</v>
      </c>
      <c r="M43" s="5" t="s">
        <v>314</v>
      </c>
      <c r="N43" s="3" t="s">
        <v>108</v>
      </c>
      <c r="O43" s="6">
        <v>0</v>
      </c>
      <c r="P43" s="6">
        <v>0</v>
      </c>
      <c r="Q43" s="6">
        <v>0</v>
      </c>
      <c r="R43" s="7">
        <v>34</v>
      </c>
      <c r="S43" s="6">
        <f>IF(Q43-R43&lt;0,"0",Q43-R43)</f>
      </c>
      <c r="T43" s="6">
        <v>0</v>
      </c>
      <c r="U43" s="8">
        <v>46163.54166666667</v>
      </c>
      <c r="V43" s="8">
        <v>46163.54166666667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690</v>
      </c>
      <c r="AF43" s="12">
        <v>0</v>
      </c>
      <c r="AG43" s="12">
        <f>SUM(AB43:AF43)</f>
      </c>
      <c r="AH43" s="3"/>
      <c r="AI43" s="3"/>
      <c r="AJ43" s="3"/>
      <c r="AK43" s="3"/>
      <c r="AL43" s="3"/>
      <c r="AO43" s="3" t="s">
        <v>315</v>
      </c>
      <c r="AP43" s="6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316</v>
      </c>
      <c r="F44" s="3" t="s">
        <v>317</v>
      </c>
      <c r="G44" s="3" t="s">
        <v>318</v>
      </c>
      <c r="H44" s="3" t="s">
        <v>319</v>
      </c>
      <c r="I44" s="3" t="s">
        <v>154</v>
      </c>
      <c r="J44" s="3" t="s">
        <v>320</v>
      </c>
      <c r="K44" s="5" t="s">
        <v>321</v>
      </c>
      <c r="L44" s="5" t="s">
        <v>67</v>
      </c>
      <c r="M44" s="5" t="s">
        <v>79</v>
      </c>
      <c r="N44" s="3" t="s">
        <v>67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  <c r="AO44" s="3" t="s">
        <v>59</v>
      </c>
      <c r="AP44" s="6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322</v>
      </c>
      <c r="F45" s="3" t="s">
        <v>323</v>
      </c>
      <c r="G45" s="3" t="s">
        <v>324</v>
      </c>
      <c r="H45" s="3" t="s">
        <v>325</v>
      </c>
      <c r="I45" s="3" t="s">
        <v>240</v>
      </c>
      <c r="J45" s="3" t="s">
        <v>326</v>
      </c>
      <c r="K45" s="5" t="s">
        <v>327</v>
      </c>
      <c r="L45" s="5" t="s">
        <v>108</v>
      </c>
      <c r="M45" s="5" t="s">
        <v>328</v>
      </c>
      <c r="N45" s="4" t="s">
        <v>47</v>
      </c>
      <c r="O45" s="6">
        <v>251428</v>
      </c>
      <c r="P45" s="6">
        <v>251443</v>
      </c>
      <c r="Q45" s="6">
        <v>500</v>
      </c>
      <c r="R45" s="7">
        <v>100</v>
      </c>
      <c r="S45" s="6">
        <f>IF(Q45-R45&lt;0,"0",Q45-R45)</f>
      </c>
      <c r="T45" s="6">
        <v>0</v>
      </c>
      <c r="U45" s="8">
        <v>46163.54166666667</v>
      </c>
      <c r="V45" s="8">
        <v>46163.64059027778</v>
      </c>
      <c r="W45" s="9">
        <f>V45-U45</f>
      </c>
      <c r="X45" s="10">
        <v>0.125</v>
      </c>
      <c r="Y45" s="9">
        <f>IF(W45-X45&lt;0,"00:00:00",W45-X45)</f>
      </c>
      <c r="Z45" s="11">
        <v>145</v>
      </c>
      <c r="AA45" s="11">
        <v>0</v>
      </c>
      <c r="AB45" s="12">
        <f>Y45*Z45*24</f>
      </c>
      <c r="AC45" s="12">
        <f>S45*AA45</f>
      </c>
      <c r="AD45" s="12">
        <f>T45*AA45</f>
      </c>
      <c r="AE45" s="11">
        <v>735</v>
      </c>
      <c r="AF45" s="12">
        <v>0</v>
      </c>
      <c r="AG45" s="12">
        <f>SUM(AB45:AF45)</f>
      </c>
      <c r="AH45" s="3"/>
      <c r="AI45" s="3"/>
      <c r="AJ45" s="3"/>
      <c r="AK45" s="3"/>
      <c r="AL45" s="3"/>
      <c r="AO45" s="3" t="s">
        <v>242</v>
      </c>
      <c r="AP45" s="6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329</v>
      </c>
      <c r="F46" s="3" t="s">
        <v>330</v>
      </c>
      <c r="G46" s="3" t="s">
        <v>331</v>
      </c>
      <c r="H46" s="3" t="s">
        <v>332</v>
      </c>
      <c r="I46" s="3" t="s">
        <v>333</v>
      </c>
      <c r="J46" s="3" t="s">
        <v>334</v>
      </c>
      <c r="K46" s="5" t="s">
        <v>335</v>
      </c>
      <c r="L46" s="5" t="s">
        <v>336</v>
      </c>
      <c r="M46" s="5" t="s">
        <v>337</v>
      </c>
      <c r="N46" s="3" t="s">
        <v>336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690</v>
      </c>
      <c r="AF46" s="12">
        <v>0</v>
      </c>
      <c r="AG46" s="12">
        <f>SUM(AB46:AF46)</f>
      </c>
      <c r="AH46" s="3"/>
      <c r="AI46" s="3"/>
      <c r="AJ46" s="3"/>
      <c r="AK46" s="3"/>
      <c r="AL46" s="3"/>
      <c r="AO46" s="3" t="s">
        <v>50</v>
      </c>
      <c r="AP46" s="6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338</v>
      </c>
      <c r="F47" s="3" t="s">
        <v>339</v>
      </c>
      <c r="G47" s="3" t="s">
        <v>340</v>
      </c>
      <c r="H47" s="3" t="s">
        <v>341</v>
      </c>
      <c r="I47" s="3" t="s">
        <v>342</v>
      </c>
      <c r="J47" s="3" t="s">
        <v>343</v>
      </c>
      <c r="K47" s="5" t="s">
        <v>344</v>
      </c>
      <c r="L47" s="5" t="s">
        <v>345</v>
      </c>
      <c r="M47" s="5" t="s">
        <v>346</v>
      </c>
      <c r="N47" s="3" t="s">
        <v>345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  <c r="AO47" s="3" t="s">
        <v>347</v>
      </c>
      <c r="AP47" s="6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157</v>
      </c>
      <c r="F48" s="3" t="s">
        <v>348</v>
      </c>
      <c r="G48" s="3" t="s">
        <v>349</v>
      </c>
      <c r="H48" s="3" t="s">
        <v>350</v>
      </c>
      <c r="I48" s="3" t="s">
        <v>351</v>
      </c>
      <c r="J48" s="3" t="s">
        <v>352</v>
      </c>
      <c r="K48" s="5" t="s">
        <v>353</v>
      </c>
      <c r="L48" s="5" t="s">
        <v>49</v>
      </c>
      <c r="M48" s="5" t="s">
        <v>354</v>
      </c>
      <c r="N48" s="3" t="s">
        <v>67</v>
      </c>
      <c r="O48" s="6">
        <v>381005</v>
      </c>
      <c r="P48" s="6">
        <v>381624</v>
      </c>
      <c r="Q48" s="6">
        <v>500</v>
      </c>
      <c r="R48" s="7">
        <v>500</v>
      </c>
      <c r="S48" s="6">
        <f>IF(Q48-R48&lt;0,"0",Q48-R48)</f>
      </c>
      <c r="T48" s="6">
        <v>0</v>
      </c>
      <c r="U48" s="8">
        <v>46163.77777777778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3450</v>
      </c>
      <c r="AF48" s="12">
        <v>60</v>
      </c>
      <c r="AG48" s="12">
        <f>SUM(AB48:AF48)</f>
      </c>
      <c r="AH48" s="3"/>
      <c r="AI48" s="3"/>
      <c r="AJ48" s="3"/>
      <c r="AK48" s="3"/>
      <c r="AL48" s="3"/>
      <c r="AO48" s="3" t="s">
        <v>164</v>
      </c>
      <c r="AP48" s="6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123</v>
      </c>
      <c r="F49" s="3" t="s">
        <v>355</v>
      </c>
      <c r="G49" s="3" t="s">
        <v>356</v>
      </c>
      <c r="H49" s="3" t="s">
        <v>357</v>
      </c>
      <c r="I49" s="3" t="s">
        <v>358</v>
      </c>
      <c r="J49" s="4" t="s">
        <v>47</v>
      </c>
      <c r="K49" s="5" t="s">
        <v>169</v>
      </c>
      <c r="L49" s="5" t="s">
        <v>67</v>
      </c>
      <c r="M49" s="5" t="s">
        <v>79</v>
      </c>
      <c r="N49" s="3" t="s">
        <v>67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46163.985821759255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  <c r="AO49" s="3" t="s">
        <v>59</v>
      </c>
      <c r="AP49" s="6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157</v>
      </c>
      <c r="F50" s="3" t="s">
        <v>359</v>
      </c>
      <c r="G50" s="3" t="s">
        <v>349</v>
      </c>
      <c r="H50" s="3" t="s">
        <v>360</v>
      </c>
      <c r="I50" s="3" t="s">
        <v>295</v>
      </c>
      <c r="J50" s="3" t="s">
        <v>352</v>
      </c>
      <c r="K50" s="5" t="s">
        <v>353</v>
      </c>
      <c r="L50" s="5" t="s">
        <v>49</v>
      </c>
      <c r="M50" s="5" t="s">
        <v>354</v>
      </c>
      <c r="N50" s="3" t="s">
        <v>67</v>
      </c>
      <c r="O50" s="6">
        <v>312192</v>
      </c>
      <c r="P50" s="6">
        <v>312810</v>
      </c>
      <c r="Q50" s="6">
        <v>500</v>
      </c>
      <c r="R50" s="7">
        <v>500</v>
      </c>
      <c r="S50" s="6">
        <f>IF(Q50-R50&lt;0,"0",Q50-R50)</f>
      </c>
      <c r="T50" s="6">
        <v>0</v>
      </c>
      <c r="U50" s="8">
        <v>46163.77777777778</v>
      </c>
      <c r="V50" s="8">
        <v>46164.64782407407</v>
      </c>
      <c r="W50" s="9">
        <f>V50-U50</f>
      </c>
      <c r="X50" s="10">
        <v>0.4583333333333333</v>
      </c>
      <c r="Y50" s="9">
        <f>IF(W50-X50&lt;0,"00:00:00",W50-X50)</f>
      </c>
      <c r="Z50" s="11">
        <v>145</v>
      </c>
      <c r="AA50" s="11">
        <v>0</v>
      </c>
      <c r="AB50" s="12">
        <f>Y50*Z50*24</f>
      </c>
      <c r="AC50" s="12">
        <f>S50*AA50</f>
      </c>
      <c r="AD50" s="12">
        <f>T50*AA50</f>
      </c>
      <c r="AE50" s="11">
        <v>3450</v>
      </c>
      <c r="AF50" s="12">
        <v>60</v>
      </c>
      <c r="AG50" s="12">
        <f>SUM(AB50:AF50)</f>
      </c>
      <c r="AH50" s="3"/>
      <c r="AI50" s="3"/>
      <c r="AJ50" s="3"/>
      <c r="AK50" s="3"/>
      <c r="AL50" s="3"/>
      <c r="AO50" s="3" t="s">
        <v>164</v>
      </c>
      <c r="AP50" s="6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117</v>
      </c>
      <c r="E51" s="3" t="s">
        <v>361</v>
      </c>
      <c r="F51" s="3" t="s">
        <v>362</v>
      </c>
      <c r="G51" s="4" t="s">
        <v>47</v>
      </c>
      <c r="H51" s="3" t="s">
        <v>363</v>
      </c>
      <c r="I51" s="3" t="s">
        <v>364</v>
      </c>
      <c r="J51" s="4" t="s">
        <v>47</v>
      </c>
      <c r="K51" s="5" t="s">
        <v>365</v>
      </c>
      <c r="L51" s="5" t="s">
        <v>122</v>
      </c>
      <c r="M51" s="5" t="s">
        <v>179</v>
      </c>
      <c r="N51" s="4" t="s">
        <v>47</v>
      </c>
      <c r="O51" s="6">
        <v>0</v>
      </c>
      <c r="P51" s="6">
        <v>0</v>
      </c>
      <c r="Q51" s="6">
        <v>0</v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46163.790972222225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  <c r="AO51" s="3" t="s">
        <v>59</v>
      </c>
      <c r="AP51" s="6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366</v>
      </c>
      <c r="F52" s="3" t="s">
        <v>367</v>
      </c>
      <c r="G52" s="3" t="s">
        <v>368</v>
      </c>
      <c r="H52" s="3" t="s">
        <v>369</v>
      </c>
      <c r="I52" s="3" t="s">
        <v>370</v>
      </c>
      <c r="J52" s="3" t="s">
        <v>371</v>
      </c>
      <c r="K52" s="5" t="s">
        <v>372</v>
      </c>
      <c r="L52" s="5" t="s">
        <v>373</v>
      </c>
      <c r="M52" s="5" t="s">
        <v>374</v>
      </c>
      <c r="N52" s="3" t="s">
        <v>373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  <c r="AO52" s="3" t="s">
        <v>347</v>
      </c>
      <c r="AP52" s="6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375</v>
      </c>
      <c r="F53" s="3" t="s">
        <v>376</v>
      </c>
      <c r="G53" s="3" t="s">
        <v>377</v>
      </c>
      <c r="H53" s="3" t="s">
        <v>378</v>
      </c>
      <c r="I53" s="3" t="s">
        <v>234</v>
      </c>
      <c r="J53" s="4" t="s">
        <v>47</v>
      </c>
      <c r="K53" s="5" t="s">
        <v>379</v>
      </c>
      <c r="L53" s="5" t="s">
        <v>122</v>
      </c>
      <c r="M53" s="5" t="s">
        <v>223</v>
      </c>
      <c r="N53" s="4" t="s">
        <v>47</v>
      </c>
      <c r="O53" s="6">
        <v>65365</v>
      </c>
      <c r="P53" s="6">
        <v>65505</v>
      </c>
      <c r="Q53" s="6">
        <v>400</v>
      </c>
      <c r="R53" s="7">
        <v>400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0.375</v>
      </c>
      <c r="Y53" s="9">
        <f>IF(W53-X53&lt;0,"00:00:00",W53-X53)</f>
      </c>
      <c r="Z53" s="11">
        <v>145</v>
      </c>
      <c r="AA53" s="11">
        <v>0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  <c r="AO53" s="3" t="s">
        <v>224</v>
      </c>
      <c r="AP53" s="6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375</v>
      </c>
      <c r="F54" s="3" t="s">
        <v>380</v>
      </c>
      <c r="G54" s="3" t="s">
        <v>381</v>
      </c>
      <c r="H54" s="3" t="s">
        <v>382</v>
      </c>
      <c r="I54" s="3" t="s">
        <v>272</v>
      </c>
      <c r="J54" s="4" t="s">
        <v>47</v>
      </c>
      <c r="K54" s="5" t="s">
        <v>383</v>
      </c>
      <c r="L54" s="13" t="s">
        <v>47</v>
      </c>
      <c r="M54" s="5" t="s">
        <v>223</v>
      </c>
      <c r="N54" s="4" t="s">
        <v>47</v>
      </c>
      <c r="O54" s="6">
        <v>80635</v>
      </c>
      <c r="P54" s="6">
        <v>80757</v>
      </c>
      <c r="Q54" s="6">
        <v>400</v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  <c r="AO54" s="3" t="s">
        <v>59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123</v>
      </c>
      <c r="F55" s="3" t="s">
        <v>384</v>
      </c>
      <c r="G55" s="3" t="s">
        <v>385</v>
      </c>
      <c r="H55" s="3" t="s">
        <v>386</v>
      </c>
      <c r="I55" s="3" t="s">
        <v>272</v>
      </c>
      <c r="J55" s="3" t="s">
        <v>387</v>
      </c>
      <c r="K55" s="5" t="s">
        <v>388</v>
      </c>
      <c r="L55" s="5" t="s">
        <v>67</v>
      </c>
      <c r="M55" s="5" t="s">
        <v>179</v>
      </c>
      <c r="N55" s="4" t="s">
        <v>47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46164.67967592593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  <c r="AO55" s="3" t="s">
        <v>59</v>
      </c>
      <c r="AP55" s="6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389</v>
      </c>
      <c r="F56" s="3" t="s">
        <v>390</v>
      </c>
      <c r="G56" s="3" t="s">
        <v>391</v>
      </c>
      <c r="H56" s="3" t="s">
        <v>392</v>
      </c>
      <c r="I56" s="3" t="s">
        <v>393</v>
      </c>
      <c r="J56" s="4" t="s">
        <v>47</v>
      </c>
      <c r="K56" s="5" t="s">
        <v>394</v>
      </c>
      <c r="L56" s="5" t="s">
        <v>88</v>
      </c>
      <c r="M56" s="5" t="s">
        <v>68</v>
      </c>
      <c r="N56" s="4" t="s">
        <v>47</v>
      </c>
      <c r="O56" s="6">
        <v>52227</v>
      </c>
      <c r="P56" s="6">
        <v>52427</v>
      </c>
      <c r="Q56" s="6">
        <v>200</v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0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  <c r="AO56" s="3" t="s">
        <v>395</v>
      </c>
      <c r="AP56" s="6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396</v>
      </c>
      <c r="F57" s="3" t="s">
        <v>397</v>
      </c>
      <c r="G57" s="3" t="s">
        <v>398</v>
      </c>
      <c r="H57" s="3" t="s">
        <v>399</v>
      </c>
      <c r="I57" s="3" t="s">
        <v>358</v>
      </c>
      <c r="J57" s="3" t="s">
        <v>400</v>
      </c>
      <c r="K57" s="5" t="s">
        <v>79</v>
      </c>
      <c r="L57" s="5" t="s">
        <v>67</v>
      </c>
      <c r="M57" s="5" t="s">
        <v>401</v>
      </c>
      <c r="N57" s="3" t="s">
        <v>250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46164.820810185185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  <c r="AO57" s="3" t="s">
        <v>402</v>
      </c>
      <c r="AP57" s="6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117</v>
      </c>
      <c r="E58" s="3" t="s">
        <v>60</v>
      </c>
      <c r="F58" s="3" t="s">
        <v>403</v>
      </c>
      <c r="G58" s="3" t="s">
        <v>404</v>
      </c>
      <c r="H58" s="3" t="s">
        <v>405</v>
      </c>
      <c r="I58" s="3" t="s">
        <v>113</v>
      </c>
      <c r="J58" s="3" t="s">
        <v>406</v>
      </c>
      <c r="K58" s="5" t="s">
        <v>79</v>
      </c>
      <c r="L58" s="5" t="s">
        <v>67</v>
      </c>
      <c r="M58" s="5" t="s">
        <v>68</v>
      </c>
      <c r="N58" s="4" t="s">
        <v>47</v>
      </c>
      <c r="O58" s="6">
        <v>0</v>
      </c>
      <c r="P58" s="6">
        <v>0</v>
      </c>
      <c r="Q58" s="6">
        <v>0</v>
      </c>
      <c r="R58" s="7">
        <v>200</v>
      </c>
      <c r="S58" s="6">
        <f>IF(Q58-R58&lt;0,"0",Q58-R58)</f>
      </c>
      <c r="T58" s="6">
        <v>0</v>
      </c>
      <c r="U58" s="8">
        <v>46164.04166666667</v>
      </c>
      <c r="V58" s="8">
        <v>46164.04166666667</v>
      </c>
      <c r="W58" s="9">
        <f>V58-U58</f>
      </c>
      <c r="X58" s="10">
        <v>0.25</v>
      </c>
      <c r="Y58" s="9">
        <f>IF(W58-X58&lt;0,"00:00:00",W58-X58)</f>
      </c>
      <c r="Z58" s="11">
        <v>145</v>
      </c>
      <c r="AA58" s="11">
        <v>0</v>
      </c>
      <c r="AB58" s="12">
        <f>Y58*Z58*24</f>
      </c>
      <c r="AC58" s="12">
        <f>S58*AA58</f>
      </c>
      <c r="AD58" s="12">
        <f>T58*AA58</f>
      </c>
      <c r="AE58" s="11">
        <v>690</v>
      </c>
      <c r="AF58" s="12">
        <v>0</v>
      </c>
      <c r="AG58" s="12">
        <f>SUM(AB58:AF58)</f>
      </c>
      <c r="AH58" s="3"/>
      <c r="AI58" s="3"/>
      <c r="AJ58" s="3"/>
      <c r="AK58" s="3"/>
      <c r="AL58" s="3"/>
      <c r="AO58" s="3" t="s">
        <v>80</v>
      </c>
      <c r="AP58" s="6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123</v>
      </c>
      <c r="F59" s="3" t="s">
        <v>407</v>
      </c>
      <c r="G59" s="3" t="s">
        <v>408</v>
      </c>
      <c r="H59" s="3" t="s">
        <v>409</v>
      </c>
      <c r="I59" s="3" t="s">
        <v>234</v>
      </c>
      <c r="J59" s="3" t="s">
        <v>410</v>
      </c>
      <c r="K59" s="5" t="s">
        <v>79</v>
      </c>
      <c r="L59" s="5" t="s">
        <v>67</v>
      </c>
      <c r="M59" s="5" t="s">
        <v>236</v>
      </c>
      <c r="N59" s="3" t="s">
        <v>67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46164.532222222224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  <c r="AO59" s="3" t="s">
        <v>59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101</v>
      </c>
      <c r="F60" s="3" t="s">
        <v>411</v>
      </c>
      <c r="G60" s="3" t="s">
        <v>412</v>
      </c>
      <c r="H60" s="3" t="s">
        <v>413</v>
      </c>
      <c r="I60" s="3" t="s">
        <v>414</v>
      </c>
      <c r="J60" s="3" t="s">
        <v>415</v>
      </c>
      <c r="K60" s="5" t="s">
        <v>416</v>
      </c>
      <c r="L60" s="5" t="s">
        <v>108</v>
      </c>
      <c r="M60" s="5" t="s">
        <v>417</v>
      </c>
      <c r="N60" s="3" t="s">
        <v>108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  <c r="AO60" s="3" t="s">
        <v>50</v>
      </c>
      <c r="AP60" s="6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41</v>
      </c>
      <c r="E61" s="3" t="s">
        <v>101</v>
      </c>
      <c r="F61" s="3" t="s">
        <v>418</v>
      </c>
      <c r="G61" s="3" t="s">
        <v>419</v>
      </c>
      <c r="H61" s="3" t="s">
        <v>420</v>
      </c>
      <c r="I61" s="3" t="s">
        <v>421</v>
      </c>
      <c r="J61" s="3" t="s">
        <v>422</v>
      </c>
      <c r="K61" s="5" t="s">
        <v>416</v>
      </c>
      <c r="L61" s="5" t="s">
        <v>108</v>
      </c>
      <c r="M61" s="5" t="s">
        <v>423</v>
      </c>
      <c r="N61" s="4" t="s">
        <v>47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0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  <c r="AO61" s="3" t="s">
        <v>242</v>
      </c>
      <c r="AP61" s="6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424</v>
      </c>
      <c r="F62" s="3" t="s">
        <v>425</v>
      </c>
      <c r="G62" s="3" t="s">
        <v>426</v>
      </c>
      <c r="H62" s="3" t="s">
        <v>427</v>
      </c>
      <c r="I62" s="3" t="s">
        <v>428</v>
      </c>
      <c r="J62" s="3" t="s">
        <v>429</v>
      </c>
      <c r="K62" s="5" t="s">
        <v>169</v>
      </c>
      <c r="L62" s="5" t="s">
        <v>67</v>
      </c>
      <c r="M62" s="5" t="s">
        <v>430</v>
      </c>
      <c r="N62" s="3" t="s">
        <v>108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46167.43806712963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  <c r="AO62" s="3" t="s">
        <v>431</v>
      </c>
      <c r="AP62" s="6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101</v>
      </c>
      <c r="F63" s="3" t="s">
        <v>432</v>
      </c>
      <c r="G63" s="3" t="s">
        <v>433</v>
      </c>
      <c r="H63" s="3" t="s">
        <v>434</v>
      </c>
      <c r="I63" s="3" t="s">
        <v>435</v>
      </c>
      <c r="J63" s="3" t="s">
        <v>422</v>
      </c>
      <c r="K63" s="5" t="s">
        <v>436</v>
      </c>
      <c r="L63" s="5" t="s">
        <v>108</v>
      </c>
      <c r="M63" s="5" t="s">
        <v>327</v>
      </c>
      <c r="N63" s="3" t="s">
        <v>108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  <c r="AO63" s="3" t="s">
        <v>50</v>
      </c>
      <c r="AP63" s="6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101</v>
      </c>
      <c r="F64" s="3" t="s">
        <v>437</v>
      </c>
      <c r="G64" s="3" t="s">
        <v>433</v>
      </c>
      <c r="H64" s="3" t="s">
        <v>438</v>
      </c>
      <c r="I64" s="3" t="s">
        <v>414</v>
      </c>
      <c r="J64" s="3" t="s">
        <v>422</v>
      </c>
      <c r="K64" s="5" t="s">
        <v>436</v>
      </c>
      <c r="L64" s="5" t="s">
        <v>108</v>
      </c>
      <c r="M64" s="5" t="s">
        <v>327</v>
      </c>
      <c r="N64" s="3" t="s">
        <v>108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  <c r="AO64" s="3" t="s">
        <v>50</v>
      </c>
      <c r="AP64" s="6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424</v>
      </c>
      <c r="F65" s="3" t="s">
        <v>439</v>
      </c>
      <c r="G65" s="3" t="s">
        <v>440</v>
      </c>
      <c r="H65" s="3" t="s">
        <v>441</v>
      </c>
      <c r="I65" s="3" t="s">
        <v>442</v>
      </c>
      <c r="J65" s="3" t="s">
        <v>443</v>
      </c>
      <c r="K65" s="5" t="s">
        <v>169</v>
      </c>
      <c r="L65" s="5" t="s">
        <v>67</v>
      </c>
      <c r="M65" s="5" t="s">
        <v>444</v>
      </c>
      <c r="N65" s="3" t="s">
        <v>108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46165.22916666667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  <c r="AO65" s="3" t="s">
        <v>445</v>
      </c>
      <c r="AP65" s="6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60</v>
      </c>
      <c r="F66" s="3" t="s">
        <v>446</v>
      </c>
      <c r="G66" s="3" t="s">
        <v>447</v>
      </c>
      <c r="H66" s="3" t="s">
        <v>448</v>
      </c>
      <c r="I66" s="3" t="s">
        <v>272</v>
      </c>
      <c r="J66" s="3" t="s">
        <v>449</v>
      </c>
      <c r="K66" s="5" t="s">
        <v>79</v>
      </c>
      <c r="L66" s="5" t="s">
        <v>67</v>
      </c>
      <c r="M66" s="5" t="s">
        <v>68</v>
      </c>
      <c r="N66" s="4" t="s">
        <v>47</v>
      </c>
      <c r="O66" s="6">
        <v>81074</v>
      </c>
      <c r="P66" s="6">
        <v>81274</v>
      </c>
      <c r="Q66" s="6">
        <v>200</v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46165.04206018518</v>
      </c>
      <c r="W66" s="9">
        <f>V66-U66</f>
      </c>
      <c r="X66" s="10">
        <v>0.25</v>
      </c>
      <c r="Y66" s="9">
        <f>IF(W66-X66&lt;0,"00:00:00",W66-X66)</f>
      </c>
      <c r="Z66" s="11">
        <v>145</v>
      </c>
      <c r="AA66" s="11">
        <v>0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  <c r="AO66" s="3" t="s">
        <v>80</v>
      </c>
      <c r="AP66" s="6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450</v>
      </c>
      <c r="F67" s="3" t="s">
        <v>451</v>
      </c>
      <c r="G67" s="3" t="s">
        <v>452</v>
      </c>
      <c r="H67" s="3" t="s">
        <v>453</v>
      </c>
      <c r="I67" s="3" t="s">
        <v>454</v>
      </c>
      <c r="J67" s="3" t="s">
        <v>455</v>
      </c>
      <c r="K67" s="5" t="s">
        <v>456</v>
      </c>
      <c r="L67" s="5" t="s">
        <v>88</v>
      </c>
      <c r="M67" s="5" t="s">
        <v>99</v>
      </c>
      <c r="N67" s="4" t="s">
        <v>47</v>
      </c>
      <c r="O67" s="6">
        <v>66916</v>
      </c>
      <c r="P67" s="6">
        <v>67216</v>
      </c>
      <c r="Q67" s="6">
        <v>300</v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46165.20008101852</v>
      </c>
      <c r="W67" s="9">
        <f>V67-U67</f>
      </c>
      <c r="X67" s="10">
        <v>0.2916666666666667</v>
      </c>
      <c r="Y67" s="9">
        <f>IF(W67-X67&lt;0,"00:00:00",W67-X67)</f>
      </c>
      <c r="Z67" s="11">
        <v>145</v>
      </c>
      <c r="AA67" s="11">
        <v>0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  <c r="AO67" s="3" t="s">
        <v>457</v>
      </c>
      <c r="AP67" s="6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389</v>
      </c>
      <c r="F68" s="3" t="s">
        <v>458</v>
      </c>
      <c r="G68" s="3" t="s">
        <v>459</v>
      </c>
      <c r="H68" s="3" t="s">
        <v>460</v>
      </c>
      <c r="I68" s="3" t="s">
        <v>461</v>
      </c>
      <c r="J68" s="3" t="s">
        <v>462</v>
      </c>
      <c r="K68" s="5" t="s">
        <v>456</v>
      </c>
      <c r="L68" s="5" t="s">
        <v>88</v>
      </c>
      <c r="M68" s="5" t="s">
        <v>68</v>
      </c>
      <c r="N68" s="4" t="s">
        <v>47</v>
      </c>
      <c r="O68" s="6">
        <v>64404</v>
      </c>
      <c r="P68" s="6">
        <v>64604</v>
      </c>
      <c r="Q68" s="6">
        <v>200</v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0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  <c r="AO68" s="3" t="s">
        <v>395</v>
      </c>
      <c r="AP68" s="6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361</v>
      </c>
      <c r="F69" s="3" t="s">
        <v>463</v>
      </c>
      <c r="G69" s="3" t="s">
        <v>464</v>
      </c>
      <c r="H69" s="3" t="s">
        <v>465</v>
      </c>
      <c r="I69" s="3" t="s">
        <v>466</v>
      </c>
      <c r="J69" s="3" t="s">
        <v>467</v>
      </c>
      <c r="K69" s="5" t="s">
        <v>468</v>
      </c>
      <c r="L69" s="5" t="s">
        <v>122</v>
      </c>
      <c r="M69" s="5" t="s">
        <v>68</v>
      </c>
      <c r="N69" s="4" t="s">
        <v>47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46165.50074074074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  <c r="AO69" s="3" t="s">
        <v>469</v>
      </c>
      <c r="AP69" s="6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60</v>
      </c>
      <c r="F70" s="3" t="s">
        <v>470</v>
      </c>
      <c r="G70" s="3" t="s">
        <v>471</v>
      </c>
      <c r="H70" s="3" t="s">
        <v>472</v>
      </c>
      <c r="I70" s="3" t="s">
        <v>473</v>
      </c>
      <c r="J70" s="4" t="s">
        <v>47</v>
      </c>
      <c r="K70" s="5" t="s">
        <v>66</v>
      </c>
      <c r="L70" s="5" t="s">
        <v>67</v>
      </c>
      <c r="M70" s="5" t="s">
        <v>68</v>
      </c>
      <c r="N70" s="4" t="s">
        <v>47</v>
      </c>
      <c r="O70" s="6">
        <v>345411</v>
      </c>
      <c r="P70" s="6">
        <v>345611</v>
      </c>
      <c r="Q70" s="6">
        <v>200</v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46165.157314814816</v>
      </c>
      <c r="W70" s="9">
        <f>V70-U70</f>
      </c>
      <c r="X70" s="10">
        <v>0.25</v>
      </c>
      <c r="Y70" s="9">
        <f>IF(W70-X70&lt;0,"00:00:00",W70-X70)</f>
      </c>
      <c r="Z70" s="11">
        <v>145</v>
      </c>
      <c r="AA70" s="11">
        <v>0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  <c r="AO70" s="3" t="s">
        <v>80</v>
      </c>
      <c r="AP70" s="6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60</v>
      </c>
      <c r="F71" s="3" t="s">
        <v>474</v>
      </c>
      <c r="G71" s="3" t="s">
        <v>475</v>
      </c>
      <c r="H71" s="3" t="s">
        <v>476</v>
      </c>
      <c r="I71" s="3" t="s">
        <v>358</v>
      </c>
      <c r="J71" s="3" t="s">
        <v>477</v>
      </c>
      <c r="K71" s="5" t="s">
        <v>66</v>
      </c>
      <c r="L71" s="5" t="s">
        <v>67</v>
      </c>
      <c r="M71" s="5" t="s">
        <v>68</v>
      </c>
      <c r="N71" s="4" t="s">
        <v>47</v>
      </c>
      <c r="O71" s="6">
        <v>16235</v>
      </c>
      <c r="P71" s="6">
        <v>16435</v>
      </c>
      <c r="Q71" s="6">
        <v>200</v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46166.547800925924</v>
      </c>
      <c r="W71" s="9">
        <f>V71-U71</f>
      </c>
      <c r="X71" s="10">
        <v>0.25</v>
      </c>
      <c r="Y71" s="9">
        <f>IF(W71-X71&lt;0,"00:00:00",W71-X71)</f>
      </c>
      <c r="Z71" s="11">
        <v>145</v>
      </c>
      <c r="AA71" s="11">
        <v>0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  <c r="AO71" s="3" t="s">
        <v>80</v>
      </c>
      <c r="AP71" s="6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478</v>
      </c>
      <c r="F72" s="3" t="s">
        <v>479</v>
      </c>
      <c r="G72" s="3" t="s">
        <v>480</v>
      </c>
      <c r="H72" s="3" t="s">
        <v>481</v>
      </c>
      <c r="I72" s="3" t="s">
        <v>482</v>
      </c>
      <c r="J72" s="3" t="s">
        <v>483</v>
      </c>
      <c r="K72" s="5" t="s">
        <v>484</v>
      </c>
      <c r="L72" s="5" t="s">
        <v>122</v>
      </c>
      <c r="M72" s="5" t="s">
        <v>468</v>
      </c>
      <c r="N72" s="3" t="s">
        <v>122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46165.38643518518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  <c r="AO72" s="3" t="s">
        <v>469</v>
      </c>
      <c r="AP72" s="6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123</v>
      </c>
      <c r="F73" s="3" t="s">
        <v>485</v>
      </c>
      <c r="G73" s="3" t="s">
        <v>486</v>
      </c>
      <c r="H73" s="3" t="s">
        <v>487</v>
      </c>
      <c r="I73" s="3" t="s">
        <v>272</v>
      </c>
      <c r="J73" s="3" t="s">
        <v>488</v>
      </c>
      <c r="K73" s="5" t="s">
        <v>115</v>
      </c>
      <c r="L73" s="5" t="s">
        <v>67</v>
      </c>
      <c r="M73" s="5" t="s">
        <v>143</v>
      </c>
      <c r="N73" s="3" t="s">
        <v>67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  <c r="AO73" s="3" t="s">
        <v>59</v>
      </c>
      <c r="AP73" s="6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60</v>
      </c>
      <c r="F74" s="3" t="s">
        <v>489</v>
      </c>
      <c r="G74" s="3" t="s">
        <v>490</v>
      </c>
      <c r="H74" s="3" t="s">
        <v>491</v>
      </c>
      <c r="I74" s="3" t="s">
        <v>492</v>
      </c>
      <c r="J74" s="3" t="s">
        <v>493</v>
      </c>
      <c r="K74" s="5" t="s">
        <v>79</v>
      </c>
      <c r="L74" s="5" t="s">
        <v>67</v>
      </c>
      <c r="M74" s="5" t="s">
        <v>68</v>
      </c>
      <c r="N74" s="4" t="s">
        <v>47</v>
      </c>
      <c r="O74" s="6">
        <v>78293</v>
      </c>
      <c r="P74" s="6">
        <v>78493</v>
      </c>
      <c r="Q74" s="6">
        <v>200</v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46165.96491898148</v>
      </c>
      <c r="W74" s="9">
        <f>V74-U74</f>
      </c>
      <c r="X74" s="10">
        <v>0.25</v>
      </c>
      <c r="Y74" s="9">
        <f>IF(W74-X74&lt;0,"00:00:00",W74-X74)</f>
      </c>
      <c r="Z74" s="11">
        <v>145</v>
      </c>
      <c r="AA74" s="11">
        <v>0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  <c r="AO74" s="3" t="s">
        <v>80</v>
      </c>
      <c r="AP74" s="6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494</v>
      </c>
      <c r="F75" s="3" t="s">
        <v>495</v>
      </c>
      <c r="G75" s="3" t="s">
        <v>496</v>
      </c>
      <c r="H75" s="3" t="s">
        <v>497</v>
      </c>
      <c r="I75" s="3" t="s">
        <v>272</v>
      </c>
      <c r="J75" s="3" t="s">
        <v>498</v>
      </c>
      <c r="K75" s="5" t="s">
        <v>169</v>
      </c>
      <c r="L75" s="5" t="s">
        <v>67</v>
      </c>
      <c r="M75" s="5" t="s">
        <v>499</v>
      </c>
      <c r="N75" s="3" t="s">
        <v>122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46167.360439814816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29.6</v>
      </c>
      <c r="AG75" s="12">
        <f>SUM(AB75:AF75)</f>
      </c>
      <c r="AH75" s="3"/>
      <c r="AI75" s="3"/>
      <c r="AJ75" s="3"/>
      <c r="AK75" s="3"/>
      <c r="AL75" s="3"/>
      <c r="AO75" s="3" t="s">
        <v>431</v>
      </c>
      <c r="AP75" s="6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117</v>
      </c>
      <c r="E76" s="3" t="s">
        <v>60</v>
      </c>
      <c r="F76" s="3" t="s">
        <v>500</v>
      </c>
      <c r="G76" s="4" t="s">
        <v>47</v>
      </c>
      <c r="H76" s="3" t="s">
        <v>501</v>
      </c>
      <c r="I76" s="3" t="s">
        <v>502</v>
      </c>
      <c r="J76" s="4" t="s">
        <v>47</v>
      </c>
      <c r="K76" s="5" t="s">
        <v>169</v>
      </c>
      <c r="L76" s="5" t="s">
        <v>67</v>
      </c>
      <c r="M76" s="5" t="s">
        <v>68</v>
      </c>
      <c r="N76" s="4" t="s">
        <v>47</v>
      </c>
      <c r="O76" s="6">
        <v>0</v>
      </c>
      <c r="P76" s="6">
        <v>0</v>
      </c>
      <c r="Q76" s="6">
        <v>0</v>
      </c>
      <c r="R76" s="7">
        <v>200</v>
      </c>
      <c r="S76" s="6">
        <f>IF(Q76-R76&lt;0,"0",Q76-R76)</f>
      </c>
      <c r="T76" s="6">
        <v>0</v>
      </c>
      <c r="U76" s="8">
        <v>46166.16666666667</v>
      </c>
      <c r="V76" s="8">
        <v>46166.16666666667</v>
      </c>
      <c r="W76" s="9">
        <f>V76-U76</f>
      </c>
      <c r="X76" s="10">
        <v>0.25</v>
      </c>
      <c r="Y76" s="9">
        <f>IF(W76-X76&lt;0,"00:00:00",W76-X76)</f>
      </c>
      <c r="Z76" s="11">
        <v>145</v>
      </c>
      <c r="AA76" s="11">
        <v>0</v>
      </c>
      <c r="AB76" s="12">
        <f>Y76*Z76*24</f>
      </c>
      <c r="AC76" s="12">
        <f>S76*AA76</f>
      </c>
      <c r="AD76" s="12">
        <f>T76*AA76</f>
      </c>
      <c r="AE76" s="11">
        <v>690</v>
      </c>
      <c r="AF76" s="12">
        <v>0</v>
      </c>
      <c r="AG76" s="12">
        <f>SUM(AB76:AF76)</f>
      </c>
      <c r="AH76" s="3"/>
      <c r="AI76" s="3"/>
      <c r="AJ76" s="3"/>
      <c r="AK76" s="3"/>
      <c r="AL76" s="3"/>
      <c r="AO76" s="3" t="s">
        <v>80</v>
      </c>
      <c r="AP76" s="6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60</v>
      </c>
      <c r="F77" s="3" t="s">
        <v>503</v>
      </c>
      <c r="G77" s="3" t="s">
        <v>504</v>
      </c>
      <c r="H77" s="3" t="s">
        <v>505</v>
      </c>
      <c r="I77" s="3" t="s">
        <v>506</v>
      </c>
      <c r="J77" s="4" t="s">
        <v>47</v>
      </c>
      <c r="K77" s="5" t="s">
        <v>169</v>
      </c>
      <c r="L77" s="5" t="s">
        <v>67</v>
      </c>
      <c r="M77" s="5" t="s">
        <v>68</v>
      </c>
      <c r="N77" s="4" t="s">
        <v>47</v>
      </c>
      <c r="O77" s="6">
        <v>118936</v>
      </c>
      <c r="P77" s="6">
        <v>119136</v>
      </c>
      <c r="Q77" s="6">
        <v>200</v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46166.322754629626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  <c r="AO77" s="3" t="s">
        <v>507</v>
      </c>
      <c r="AP77" s="6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424</v>
      </c>
      <c r="F78" s="3" t="s">
        <v>508</v>
      </c>
      <c r="G78" s="3" t="s">
        <v>509</v>
      </c>
      <c r="H78" s="3" t="s">
        <v>510</v>
      </c>
      <c r="I78" s="3" t="s">
        <v>511</v>
      </c>
      <c r="J78" s="3" t="s">
        <v>512</v>
      </c>
      <c r="K78" s="5" t="s">
        <v>169</v>
      </c>
      <c r="L78" s="5" t="s">
        <v>67</v>
      </c>
      <c r="M78" s="5" t="s">
        <v>444</v>
      </c>
      <c r="N78" s="3" t="s">
        <v>108</v>
      </c>
      <c r="O78" s="6">
        <v>221488</v>
      </c>
      <c r="P78" s="6">
        <v>222671</v>
      </c>
      <c r="Q78" s="6">
        <f>P78-O78</f>
      </c>
      <c r="R78" s="7">
        <v>2927</v>
      </c>
      <c r="S78" s="6">
        <f>IF(Q78-R78&lt;0,"0",Q78-R78)</f>
      </c>
      <c r="T78" s="6">
        <v>0</v>
      </c>
      <c r="U78" s="8">
        <v>46165.834027777775</v>
      </c>
      <c r="V78" s="8">
        <v>46167.3746412037</v>
      </c>
      <c r="W78" s="9">
        <f>V78-U78</f>
      </c>
      <c r="X78" s="10">
        <v>3.75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22635.93</v>
      </c>
      <c r="AF78" s="12">
        <v>138.5</v>
      </c>
      <c r="AG78" s="12">
        <f>SUM(AB78:AF78)</f>
      </c>
      <c r="AH78" s="3"/>
      <c r="AI78" s="3"/>
      <c r="AJ78" s="3"/>
      <c r="AK78" s="3"/>
      <c r="AL78" s="3"/>
      <c r="AO78" s="3" t="s">
        <v>513</v>
      </c>
      <c r="AP78" s="6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60</v>
      </c>
      <c r="F79" s="3" t="s">
        <v>514</v>
      </c>
      <c r="G79" s="3" t="s">
        <v>515</v>
      </c>
      <c r="H79" s="3" t="s">
        <v>516</v>
      </c>
      <c r="I79" s="3" t="s">
        <v>358</v>
      </c>
      <c r="J79" s="3" t="s">
        <v>517</v>
      </c>
      <c r="K79" s="5" t="s">
        <v>66</v>
      </c>
      <c r="L79" s="5" t="s">
        <v>67</v>
      </c>
      <c r="M79" s="5" t="s">
        <v>68</v>
      </c>
      <c r="N79" s="4" t="s">
        <v>47</v>
      </c>
      <c r="O79" s="6">
        <v>78707</v>
      </c>
      <c r="P79" s="6">
        <v>78784</v>
      </c>
      <c r="Q79" s="6">
        <v>200</v>
      </c>
      <c r="R79" s="7">
        <v>200</v>
      </c>
      <c r="S79" s="6">
        <f>IF(Q79-R79&lt;0,"0",Q79-R79)</f>
      </c>
      <c r="T79" s="6">
        <v>0</v>
      </c>
      <c r="U79" s="8">
        <v>46166.75</v>
      </c>
      <c r="V79" s="8">
        <v>46166.929236111115</v>
      </c>
      <c r="W79" s="9">
        <f>V79-U79</f>
      </c>
      <c r="X79" s="10">
        <v>0.25</v>
      </c>
      <c r="Y79" s="9">
        <f>IF(W79-X79&lt;0,"00:00:00",W79-X79)</f>
      </c>
      <c r="Z79" s="11">
        <v>145</v>
      </c>
      <c r="AA79" s="11">
        <v>0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  <c r="AO79" s="3" t="s">
        <v>80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117</v>
      </c>
      <c r="E80" s="3" t="s">
        <v>157</v>
      </c>
      <c r="F80" s="3" t="s">
        <v>518</v>
      </c>
      <c r="G80" s="4" t="s">
        <v>47</v>
      </c>
      <c r="H80" s="3" t="s">
        <v>519</v>
      </c>
      <c r="I80" s="3" t="s">
        <v>520</v>
      </c>
      <c r="J80" s="3" t="s">
        <v>521</v>
      </c>
      <c r="K80" s="5" t="s">
        <v>522</v>
      </c>
      <c r="L80" s="5" t="s">
        <v>49</v>
      </c>
      <c r="M80" s="5" t="s">
        <v>116</v>
      </c>
      <c r="N80" s="3" t="s">
        <v>67</v>
      </c>
      <c r="O80" s="6">
        <v>0</v>
      </c>
      <c r="P80" s="6">
        <v>0</v>
      </c>
      <c r="Q80" s="6">
        <v>0</v>
      </c>
      <c r="R80" s="7">
        <v>500</v>
      </c>
      <c r="S80" s="6">
        <f>IF(Q80-R80&lt;0,"0",Q80-R80)</f>
      </c>
      <c r="T80" s="6">
        <v>0</v>
      </c>
      <c r="U80" s="8">
        <v>46166.75</v>
      </c>
      <c r="V80" s="8">
        <v>46166.75</v>
      </c>
      <c r="W80" s="9">
        <f>V80-U80</f>
      </c>
      <c r="X80" s="10">
        <v>0.4583333333333333</v>
      </c>
      <c r="Y80" s="9">
        <f>IF(W80-X80&lt;0,"00:00:00",W80-X80)</f>
      </c>
      <c r="Z80" s="11">
        <v>145</v>
      </c>
      <c r="AA80" s="11">
        <v>0</v>
      </c>
      <c r="AB80" s="12">
        <f>Y80*Z80*24</f>
      </c>
      <c r="AC80" s="12">
        <f>S80*AA80</f>
      </c>
      <c r="AD80" s="12">
        <f>T80*AA80</f>
      </c>
      <c r="AE80" s="11">
        <v>735</v>
      </c>
      <c r="AF80" s="12">
        <v>0</v>
      </c>
      <c r="AG80" s="12">
        <f>SUM(AB80:AF80)</f>
      </c>
      <c r="AH80" s="3"/>
      <c r="AI80" s="3"/>
      <c r="AJ80" s="3"/>
      <c r="AK80" s="3"/>
      <c r="AL80" s="3"/>
      <c r="AO80" s="3" t="s">
        <v>164</v>
      </c>
      <c r="AP80" s="6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494</v>
      </c>
      <c r="F81" s="3" t="s">
        <v>523</v>
      </c>
      <c r="G81" s="3" t="s">
        <v>524</v>
      </c>
      <c r="H81" s="3" t="s">
        <v>525</v>
      </c>
      <c r="I81" s="3" t="s">
        <v>199</v>
      </c>
      <c r="J81" s="3" t="s">
        <v>526</v>
      </c>
      <c r="K81" s="5" t="s">
        <v>169</v>
      </c>
      <c r="L81" s="5" t="s">
        <v>67</v>
      </c>
      <c r="M81" s="5" t="s">
        <v>499</v>
      </c>
      <c r="N81" s="3" t="s">
        <v>122</v>
      </c>
      <c r="O81" s="6">
        <v>199918</v>
      </c>
      <c r="P81" s="6">
        <v>200518</v>
      </c>
      <c r="Q81" s="6">
        <f>P81-O81</f>
      </c>
      <c r="R81" s="7">
        <v>653</v>
      </c>
      <c r="S81" s="6">
        <f>IF(Q81-R81&lt;0,"0",Q81-R81)</f>
      </c>
      <c r="T81" s="6">
        <v>0</v>
      </c>
      <c r="U81" s="8">
        <v>46167.14583333333</v>
      </c>
      <c r="V81" s="8">
        <v>46168.344201388885</v>
      </c>
      <c r="W81" s="9">
        <f>V81-U81</f>
      </c>
      <c r="X81" s="10">
        <v>1.5416666666666667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7503.58</v>
      </c>
      <c r="AF81" s="12">
        <v>129.9</v>
      </c>
      <c r="AG81" s="12">
        <f>SUM(AB81:AF81)</f>
      </c>
      <c r="AH81" s="3"/>
      <c r="AI81" s="3"/>
      <c r="AJ81" s="3"/>
      <c r="AK81" s="3"/>
      <c r="AL81" s="3"/>
      <c r="AO81" s="3" t="s">
        <v>527</v>
      </c>
      <c r="AP81" s="6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528</v>
      </c>
      <c r="F82" s="3" t="s">
        <v>529</v>
      </c>
      <c r="G82" s="3" t="s">
        <v>530</v>
      </c>
      <c r="H82" s="3" t="s">
        <v>531</v>
      </c>
      <c r="I82" s="3" t="s">
        <v>240</v>
      </c>
      <c r="J82" s="3" t="s">
        <v>532</v>
      </c>
      <c r="K82" s="5" t="s">
        <v>327</v>
      </c>
      <c r="L82" s="5" t="s">
        <v>108</v>
      </c>
      <c r="M82" s="5" t="s">
        <v>68</v>
      </c>
      <c r="N82" s="4" t="s">
        <v>47</v>
      </c>
      <c r="O82" s="6">
        <v>251669</v>
      </c>
      <c r="P82" s="6">
        <v>251702</v>
      </c>
      <c r="Q82" s="6">
        <v>200</v>
      </c>
      <c r="R82" s="7">
        <v>100</v>
      </c>
      <c r="S82" s="6">
        <f>IF(Q82-R82&lt;0,"0",Q82-R82)</f>
      </c>
      <c r="T82" s="6">
        <v>0</v>
      </c>
      <c r="U82" s="8">
        <v>46167.29166666667</v>
      </c>
      <c r="V82" s="8">
        <v>46167.377800925926</v>
      </c>
      <c r="W82" s="9">
        <f>V82-U82</f>
      </c>
      <c r="X82" s="10">
        <v>0.125</v>
      </c>
      <c r="Y82" s="9">
        <f>IF(W82-X82&lt;0,"00:00:00",W82-X82)</f>
      </c>
      <c r="Z82" s="11">
        <v>145</v>
      </c>
      <c r="AA82" s="11">
        <v>0</v>
      </c>
      <c r="AB82" s="12">
        <f>Y82*Z82*24</f>
      </c>
      <c r="AC82" s="12">
        <f>S82*AA82</f>
      </c>
      <c r="AD82" s="12">
        <f>T82*AA82</f>
      </c>
      <c r="AE82" s="11">
        <v>735</v>
      </c>
      <c r="AF82" s="12">
        <v>0</v>
      </c>
      <c r="AG82" s="12">
        <f>SUM(AB82:AF82)</f>
      </c>
      <c r="AH82" s="3"/>
      <c r="AI82" s="3"/>
      <c r="AJ82" s="3"/>
      <c r="AK82" s="3"/>
      <c r="AL82" s="3"/>
      <c r="AO82" s="3" t="s">
        <v>242</v>
      </c>
      <c r="AP82" s="6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101</v>
      </c>
      <c r="F83" s="3" t="s">
        <v>533</v>
      </c>
      <c r="G83" s="3" t="s">
        <v>534</v>
      </c>
      <c r="H83" s="3" t="s">
        <v>535</v>
      </c>
      <c r="I83" s="3" t="s">
        <v>421</v>
      </c>
      <c r="J83" s="3" t="s">
        <v>241</v>
      </c>
      <c r="K83" s="5" t="s">
        <v>107</v>
      </c>
      <c r="L83" s="5" t="s">
        <v>108</v>
      </c>
      <c r="M83" s="5" t="s">
        <v>109</v>
      </c>
      <c r="N83" s="3" t="s">
        <v>108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46167.27083333333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0</v>
      </c>
      <c r="AB83" s="12">
        <f>Y83*Z83*24</f>
      </c>
      <c r="AC83" s="12">
        <f>S83*AA83</f>
      </c>
      <c r="AD83" s="12">
        <f>T83*AA83</f>
      </c>
      <c r="AE83" s="11">
        <v>735</v>
      </c>
      <c r="AF83" s="12">
        <v>0</v>
      </c>
      <c r="AG83" s="12">
        <f>SUM(AB83:AF83)</f>
      </c>
      <c r="AH83" s="3"/>
      <c r="AI83" s="3"/>
      <c r="AJ83" s="3"/>
      <c r="AK83" s="3"/>
      <c r="AL83" s="3"/>
      <c r="AO83" s="3" t="s">
        <v>242</v>
      </c>
      <c r="AP83" s="6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101</v>
      </c>
      <c r="F84" s="3" t="s">
        <v>536</v>
      </c>
      <c r="G84" s="3" t="s">
        <v>537</v>
      </c>
      <c r="H84" s="3" t="s">
        <v>538</v>
      </c>
      <c r="I84" s="3" t="s">
        <v>421</v>
      </c>
      <c r="J84" s="3" t="s">
        <v>539</v>
      </c>
      <c r="K84" s="5" t="s">
        <v>107</v>
      </c>
      <c r="L84" s="5" t="s">
        <v>108</v>
      </c>
      <c r="M84" s="5" t="s">
        <v>109</v>
      </c>
      <c r="N84" s="3" t="s">
        <v>108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46167.41666666667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0</v>
      </c>
      <c r="AB84" s="12">
        <f>Y84*Z84*24</f>
      </c>
      <c r="AC84" s="12">
        <f>S84*AA84</f>
      </c>
      <c r="AD84" s="12">
        <f>T84*AA84</f>
      </c>
      <c r="AE84" s="11">
        <v>735</v>
      </c>
      <c r="AF84" s="12">
        <v>0</v>
      </c>
      <c r="AG84" s="12">
        <f>SUM(AB84:AF84)</f>
      </c>
      <c r="AH84" s="3"/>
      <c r="AI84" s="3"/>
      <c r="AJ84" s="3"/>
      <c r="AK84" s="3"/>
      <c r="AL84" s="3"/>
      <c r="AO84" s="3" t="s">
        <v>242</v>
      </c>
      <c r="AP84" s="6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101</v>
      </c>
      <c r="F85" s="3" t="s">
        <v>540</v>
      </c>
      <c r="G85" s="3" t="s">
        <v>537</v>
      </c>
      <c r="H85" s="3" t="s">
        <v>541</v>
      </c>
      <c r="I85" s="3" t="s">
        <v>240</v>
      </c>
      <c r="J85" s="3" t="s">
        <v>539</v>
      </c>
      <c r="K85" s="5" t="s">
        <v>107</v>
      </c>
      <c r="L85" s="5" t="s">
        <v>108</v>
      </c>
      <c r="M85" s="5" t="s">
        <v>109</v>
      </c>
      <c r="N85" s="3" t="s">
        <v>108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46167.41666666667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0</v>
      </c>
      <c r="AB85" s="12">
        <f>Y85*Z85*24</f>
      </c>
      <c r="AC85" s="12">
        <f>S85*AA85</f>
      </c>
      <c r="AD85" s="12">
        <f>T85*AA85</f>
      </c>
      <c r="AE85" s="11">
        <v>735</v>
      </c>
      <c r="AF85" s="12">
        <v>0</v>
      </c>
      <c r="AG85" s="12">
        <f>SUM(AB85:AF85)</f>
      </c>
      <c r="AH85" s="3"/>
      <c r="AI85" s="3"/>
      <c r="AJ85" s="3"/>
      <c r="AK85" s="3"/>
      <c r="AL85" s="3"/>
      <c r="AO85" s="3" t="s">
        <v>242</v>
      </c>
      <c r="AP85" s="6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60</v>
      </c>
      <c r="F86" s="3" t="s">
        <v>542</v>
      </c>
      <c r="G86" s="3" t="s">
        <v>543</v>
      </c>
      <c r="H86" s="3" t="s">
        <v>544</v>
      </c>
      <c r="I86" s="3" t="s">
        <v>492</v>
      </c>
      <c r="J86" s="3" t="s">
        <v>545</v>
      </c>
      <c r="K86" s="5" t="s">
        <v>546</v>
      </c>
      <c r="L86" s="5" t="s">
        <v>67</v>
      </c>
      <c r="M86" s="5" t="s">
        <v>79</v>
      </c>
      <c r="N86" s="3" t="s">
        <v>67</v>
      </c>
      <c r="O86" s="6">
        <v>79001</v>
      </c>
      <c r="P86" s="6">
        <v>79055</v>
      </c>
      <c r="Q86" s="6">
        <v>200</v>
      </c>
      <c r="R86" s="7">
        <v>200</v>
      </c>
      <c r="S86" s="6">
        <f>IF(Q86-R86&lt;0,"0",Q86-R86)</f>
      </c>
      <c r="T86" s="6">
        <v>0</v>
      </c>
      <c r="U86" s="8">
        <v>46167.58333333333</v>
      </c>
      <c r="V86" s="8">
        <v>46167.803449074076</v>
      </c>
      <c r="W86" s="9">
        <f>V86-U86</f>
      </c>
      <c r="X86" s="10">
        <v>0.25</v>
      </c>
      <c r="Y86" s="9">
        <f>IF(W86-X86&lt;0,"00:00:00",W86-X86)</f>
      </c>
      <c r="Z86" s="11">
        <v>145</v>
      </c>
      <c r="AA86" s="11">
        <v>0</v>
      </c>
      <c r="AB86" s="12">
        <f>Y86*Z86*24</f>
      </c>
      <c r="AC86" s="12">
        <f>S86*AA86</f>
      </c>
      <c r="AD86" s="12">
        <f>T86*AA86</f>
      </c>
      <c r="AE86" s="11">
        <v>1380</v>
      </c>
      <c r="AF86" s="12">
        <v>5.9</v>
      </c>
      <c r="AG86" s="12">
        <f>SUM(AB86:AF86)</f>
      </c>
      <c r="AH86" s="3"/>
      <c r="AI86" s="3"/>
      <c r="AJ86" s="3"/>
      <c r="AK86" s="3"/>
      <c r="AL86" s="3"/>
      <c r="AO86" s="3" t="s">
        <v>80</v>
      </c>
      <c r="AP86" s="6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547</v>
      </c>
      <c r="F87" s="3" t="s">
        <v>548</v>
      </c>
      <c r="G87" s="3" t="s">
        <v>549</v>
      </c>
      <c r="H87" s="3" t="s">
        <v>550</v>
      </c>
      <c r="I87" s="3" t="s">
        <v>551</v>
      </c>
      <c r="J87" s="3" t="s">
        <v>552</v>
      </c>
      <c r="K87" s="5" t="s">
        <v>553</v>
      </c>
      <c r="L87" s="5" t="s">
        <v>67</v>
      </c>
      <c r="M87" s="5" t="s">
        <v>554</v>
      </c>
      <c r="N87" s="3" t="s">
        <v>67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46168.39583333333</v>
      </c>
      <c r="V87" s="8">
        <v>46168.46917824074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6.9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  <c r="AO87" s="3" t="s">
        <v>59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547</v>
      </c>
      <c r="F88" s="3" t="s">
        <v>555</v>
      </c>
      <c r="G88" s="3" t="s">
        <v>556</v>
      </c>
      <c r="H88" s="3" t="s">
        <v>557</v>
      </c>
      <c r="I88" s="3" t="s">
        <v>558</v>
      </c>
      <c r="J88" s="3" t="s">
        <v>559</v>
      </c>
      <c r="K88" s="5" t="s">
        <v>553</v>
      </c>
      <c r="L88" s="5" t="s">
        <v>67</v>
      </c>
      <c r="M88" s="5" t="s">
        <v>560</v>
      </c>
      <c r="N88" s="3" t="s">
        <v>67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46168.25</v>
      </c>
      <c r="V88" s="8">
        <v>46168.365439814814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6.9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  <c r="AO88" s="3" t="s">
        <v>59</v>
      </c>
      <c r="AP88" s="6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547</v>
      </c>
      <c r="F89" s="3" t="s">
        <v>561</v>
      </c>
      <c r="G89" s="3" t="s">
        <v>556</v>
      </c>
      <c r="H89" s="3" t="s">
        <v>562</v>
      </c>
      <c r="I89" s="3" t="s">
        <v>563</v>
      </c>
      <c r="J89" s="3" t="s">
        <v>559</v>
      </c>
      <c r="K89" s="5" t="s">
        <v>553</v>
      </c>
      <c r="L89" s="5" t="s">
        <v>67</v>
      </c>
      <c r="M89" s="5" t="s">
        <v>560</v>
      </c>
      <c r="N89" s="3" t="s">
        <v>67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46168.25</v>
      </c>
      <c r="V89" s="8">
        <v>46168.36633101852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6.9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  <c r="AO89" s="3" t="s">
        <v>59</v>
      </c>
      <c r="AP89" s="6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564</v>
      </c>
      <c r="F90" s="3" t="s">
        <v>565</v>
      </c>
      <c r="G90" s="3" t="s">
        <v>566</v>
      </c>
      <c r="H90" s="3" t="s">
        <v>567</v>
      </c>
      <c r="I90" s="3" t="s">
        <v>442</v>
      </c>
      <c r="J90" s="3" t="s">
        <v>352</v>
      </c>
      <c r="K90" s="5" t="s">
        <v>353</v>
      </c>
      <c r="L90" s="5" t="s">
        <v>49</v>
      </c>
      <c r="M90" s="5" t="s">
        <v>68</v>
      </c>
      <c r="N90" s="4" t="s">
        <v>47</v>
      </c>
      <c r="O90" s="6">
        <v>5002</v>
      </c>
      <c r="P90" s="6">
        <v>5202</v>
      </c>
      <c r="Q90" s="6">
        <v>200</v>
      </c>
      <c r="R90" s="7">
        <v>200</v>
      </c>
      <c r="S90" s="6">
        <f>IF(Q90-R90&lt;0,"0",Q90-R90)</f>
      </c>
      <c r="T90" s="6">
        <v>0</v>
      </c>
      <c r="U90" s="8">
        <v>46167.743055555555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0</v>
      </c>
      <c r="AB90" s="12">
        <f>Y90*Z90*24</f>
      </c>
      <c r="AC90" s="12">
        <f>S90*AA90</f>
      </c>
      <c r="AD90" s="12">
        <f>T90*AA90</f>
      </c>
      <c r="AE90" s="11">
        <v>1380</v>
      </c>
      <c r="AF90" s="12">
        <v>35</v>
      </c>
      <c r="AG90" s="12">
        <f>SUM(AB90:AF90)</f>
      </c>
      <c r="AH90" s="3"/>
      <c r="AI90" s="3"/>
      <c r="AJ90" s="3"/>
      <c r="AK90" s="3"/>
      <c r="AL90" s="3"/>
      <c r="AO90" s="3" t="s">
        <v>568</v>
      </c>
      <c r="AP90" s="6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123</v>
      </c>
      <c r="F91" s="3" t="s">
        <v>569</v>
      </c>
      <c r="G91" s="3" t="s">
        <v>570</v>
      </c>
      <c r="H91" s="3" t="s">
        <v>571</v>
      </c>
      <c r="I91" s="3" t="s">
        <v>141</v>
      </c>
      <c r="J91" s="3" t="s">
        <v>572</v>
      </c>
      <c r="K91" s="5" t="s">
        <v>169</v>
      </c>
      <c r="L91" s="5" t="s">
        <v>67</v>
      </c>
      <c r="M91" s="5" t="s">
        <v>573</v>
      </c>
      <c r="N91" s="3" t="s">
        <v>67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46168.27083333333</v>
      </c>
      <c r="V91" s="8">
        <v>46168.60616898148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6.9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  <c r="AO91" s="3" t="s">
        <v>59</v>
      </c>
      <c r="AP91" s="6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123</v>
      </c>
      <c r="F92" s="3" t="s">
        <v>574</v>
      </c>
      <c r="G92" s="3" t="s">
        <v>575</v>
      </c>
      <c r="H92" s="3" t="s">
        <v>576</v>
      </c>
      <c r="I92" s="3" t="s">
        <v>127</v>
      </c>
      <c r="J92" s="3" t="s">
        <v>577</v>
      </c>
      <c r="K92" s="5" t="s">
        <v>578</v>
      </c>
      <c r="L92" s="5" t="s">
        <v>67</v>
      </c>
      <c r="M92" s="5" t="s">
        <v>169</v>
      </c>
      <c r="N92" s="3" t="s">
        <v>67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46168.54166666667</v>
      </c>
      <c r="V92" s="8">
        <v>46168.74212962963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6.9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  <c r="AO92" s="3" t="s">
        <v>59</v>
      </c>
      <c r="AP92" s="6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117</v>
      </c>
      <c r="E93" s="3" t="s">
        <v>60</v>
      </c>
      <c r="F93" s="3" t="s">
        <v>579</v>
      </c>
      <c r="G93" s="4" t="s">
        <v>47</v>
      </c>
      <c r="H93" s="3" t="s">
        <v>580</v>
      </c>
      <c r="I93" s="3" t="s">
        <v>311</v>
      </c>
      <c r="J93" s="3" t="s">
        <v>581</v>
      </c>
      <c r="K93" s="5" t="s">
        <v>79</v>
      </c>
      <c r="L93" s="5" t="s">
        <v>67</v>
      </c>
      <c r="M93" s="5" t="s">
        <v>68</v>
      </c>
      <c r="N93" s="4" t="s">
        <v>47</v>
      </c>
      <c r="O93" s="6">
        <v>0</v>
      </c>
      <c r="P93" s="6">
        <v>0</v>
      </c>
      <c r="Q93" s="6">
        <v>0</v>
      </c>
      <c r="R93" s="7">
        <v>200</v>
      </c>
      <c r="S93" s="6">
        <f>IF(Q93-R93&lt;0,"0",Q93-R93)</f>
      </c>
      <c r="T93" s="6">
        <v>0</v>
      </c>
      <c r="U93" s="8">
        <v>46168.25</v>
      </c>
      <c r="V93" s="8">
        <v>46168.25</v>
      </c>
      <c r="W93" s="9">
        <f>V93-U93</f>
      </c>
      <c r="X93" s="10">
        <v>0.25</v>
      </c>
      <c r="Y93" s="9">
        <f>IF(W93-X93&lt;0,"00:00:00",W93-X93)</f>
      </c>
      <c r="Z93" s="11">
        <v>145</v>
      </c>
      <c r="AA93" s="11">
        <v>0</v>
      </c>
      <c r="AB93" s="12">
        <f>Y93*Z93*24</f>
      </c>
      <c r="AC93" s="12">
        <f>S93*AA93</f>
      </c>
      <c r="AD93" s="12">
        <f>T93*AA93</f>
      </c>
      <c r="AE93" s="11">
        <v>690</v>
      </c>
      <c r="AF93" s="12">
        <v>0</v>
      </c>
      <c r="AG93" s="12">
        <f>SUM(AB93:AF93)</f>
      </c>
      <c r="AH93" s="3"/>
      <c r="AI93" s="3"/>
      <c r="AJ93" s="3"/>
      <c r="AK93" s="3"/>
      <c r="AL93" s="3"/>
      <c r="AO93" s="3" t="s">
        <v>80</v>
      </c>
      <c r="AP93" s="6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81</v>
      </c>
      <c r="F94" s="3" t="s">
        <v>582</v>
      </c>
      <c r="G94" s="3" t="s">
        <v>583</v>
      </c>
      <c r="H94" s="3" t="s">
        <v>584</v>
      </c>
      <c r="I94" s="3" t="s">
        <v>585</v>
      </c>
      <c r="J94" s="3" t="s">
        <v>586</v>
      </c>
      <c r="K94" s="5" t="s">
        <v>587</v>
      </c>
      <c r="L94" s="5" t="s">
        <v>88</v>
      </c>
      <c r="M94" s="5" t="s">
        <v>588</v>
      </c>
      <c r="N94" s="3" t="s">
        <v>88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46167.875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6.9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  <c r="AO94" s="3" t="s">
        <v>90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389</v>
      </c>
      <c r="F95" s="3" t="s">
        <v>589</v>
      </c>
      <c r="G95" s="3" t="s">
        <v>590</v>
      </c>
      <c r="H95" s="3" t="s">
        <v>591</v>
      </c>
      <c r="I95" s="3" t="s">
        <v>585</v>
      </c>
      <c r="J95" s="3" t="s">
        <v>592</v>
      </c>
      <c r="K95" s="5" t="s">
        <v>394</v>
      </c>
      <c r="L95" s="5" t="s">
        <v>88</v>
      </c>
      <c r="M95" s="5" t="s">
        <v>68</v>
      </c>
      <c r="N95" s="4" t="s">
        <v>47</v>
      </c>
      <c r="O95" s="6">
        <v>252211</v>
      </c>
      <c r="P95" s="6">
        <v>252411</v>
      </c>
      <c r="Q95" s="6">
        <v>200</v>
      </c>
      <c r="R95" s="7">
        <v>200</v>
      </c>
      <c r="S95" s="6">
        <f>IF(Q95-R95&lt;0,"0",Q95-R95)</f>
      </c>
      <c r="T95" s="6">
        <v>0</v>
      </c>
      <c r="U95" s="8">
        <v>46167.98611111111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0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  <c r="AO95" s="3" t="s">
        <v>395</v>
      </c>
      <c r="AP95" s="6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593</v>
      </c>
      <c r="F96" s="3" t="s">
        <v>594</v>
      </c>
      <c r="G96" s="3" t="s">
        <v>595</v>
      </c>
      <c r="H96" s="3" t="s">
        <v>596</v>
      </c>
      <c r="I96" s="3" t="s">
        <v>597</v>
      </c>
      <c r="J96" s="3" t="s">
        <v>598</v>
      </c>
      <c r="K96" s="5" t="s">
        <v>66</v>
      </c>
      <c r="L96" s="5" t="s">
        <v>67</v>
      </c>
      <c r="M96" s="5" t="s">
        <v>599</v>
      </c>
      <c r="N96" s="3" t="s">
        <v>336</v>
      </c>
      <c r="O96" s="6">
        <v>423304</v>
      </c>
      <c r="P96" s="6">
        <v>423712</v>
      </c>
      <c r="Q96" s="6">
        <f>P96-O96</f>
      </c>
      <c r="R96" s="7">
        <v>500</v>
      </c>
      <c r="S96" s="6">
        <f>IF(Q96-R96&lt;0,"0",Q96-R96)</f>
      </c>
      <c r="T96" s="6">
        <v>0</v>
      </c>
      <c r="U96" s="8">
        <v>46168</v>
      </c>
      <c r="V96" s="8">
        <v>46168.375185185185</v>
      </c>
      <c r="W96" s="9">
        <f>V96-U96</f>
      </c>
      <c r="X96" s="10">
        <v>0.4583333333333333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3450</v>
      </c>
      <c r="AF96" s="12">
        <v>35.2</v>
      </c>
      <c r="AG96" s="12">
        <f>SUM(AB96:AF96)</f>
      </c>
      <c r="AH96" s="3"/>
      <c r="AI96" s="3"/>
      <c r="AJ96" s="3"/>
      <c r="AK96" s="3"/>
      <c r="AL96" s="3"/>
      <c r="AO96" s="3" t="s">
        <v>600</v>
      </c>
      <c r="AP96" s="6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123</v>
      </c>
      <c r="F97" s="3" t="s">
        <v>601</v>
      </c>
      <c r="G97" s="3" t="s">
        <v>602</v>
      </c>
      <c r="H97" s="3" t="s">
        <v>603</v>
      </c>
      <c r="I97" s="3" t="s">
        <v>127</v>
      </c>
      <c r="J97" s="3" t="s">
        <v>604</v>
      </c>
      <c r="K97" s="5" t="s">
        <v>169</v>
      </c>
      <c r="L97" s="5" t="s">
        <v>67</v>
      </c>
      <c r="M97" s="5" t="s">
        <v>605</v>
      </c>
      <c r="N97" s="3" t="s">
        <v>67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46168.875</v>
      </c>
      <c r="V97" s="8">
        <v>46169.02309027778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6.9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  <c r="AO97" s="3" t="s">
        <v>59</v>
      </c>
      <c r="AP97" s="6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283</v>
      </c>
      <c r="F98" s="3" t="s">
        <v>606</v>
      </c>
      <c r="G98" s="3" t="s">
        <v>607</v>
      </c>
      <c r="H98" s="3" t="s">
        <v>608</v>
      </c>
      <c r="I98" s="3" t="s">
        <v>609</v>
      </c>
      <c r="J98" s="3" t="s">
        <v>610</v>
      </c>
      <c r="K98" s="5" t="s">
        <v>553</v>
      </c>
      <c r="L98" s="5" t="s">
        <v>67</v>
      </c>
      <c r="M98" s="5" t="s">
        <v>611</v>
      </c>
      <c r="N98" s="3" t="s">
        <v>67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46169.41666666667</v>
      </c>
      <c r="V98" s="8">
        <v>46169.52688657407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6.9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  <c r="AO98" s="3" t="s">
        <v>59</v>
      </c>
      <c r="AP98" s="6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612</v>
      </c>
      <c r="F99" s="3" t="s">
        <v>613</v>
      </c>
      <c r="G99" s="3" t="s">
        <v>614</v>
      </c>
      <c r="H99" s="3" t="s">
        <v>615</v>
      </c>
      <c r="I99" s="3" t="s">
        <v>442</v>
      </c>
      <c r="J99" s="3" t="s">
        <v>616</v>
      </c>
      <c r="K99" s="5" t="s">
        <v>169</v>
      </c>
      <c r="L99" s="5" t="s">
        <v>67</v>
      </c>
      <c r="M99" s="5" t="s">
        <v>617</v>
      </c>
      <c r="N99" s="3" t="s">
        <v>122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46169.29166666667</v>
      </c>
      <c r="V99" s="8">
        <v>46170.301157407404</v>
      </c>
      <c r="W99" s="9">
        <f>V99-U99</f>
      </c>
      <c r="X99" s="10">
        <v>0.625</v>
      </c>
      <c r="Y99" s="9">
        <f>IF(W99-X99&lt;0,"00:00:00",W99-X99)</f>
      </c>
      <c r="Z99" s="11">
        <v>145</v>
      </c>
      <c r="AA99" s="11">
        <v>6.9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  <c r="AO99" s="3" t="s">
        <v>618</v>
      </c>
      <c r="AP99" s="6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619</v>
      </c>
      <c r="F100" s="3" t="s">
        <v>620</v>
      </c>
      <c r="G100" s="3" t="s">
        <v>621</v>
      </c>
      <c r="H100" s="3" t="s">
        <v>622</v>
      </c>
      <c r="I100" s="3" t="s">
        <v>216</v>
      </c>
      <c r="J100" s="3" t="s">
        <v>623</v>
      </c>
      <c r="K100" s="5" t="s">
        <v>169</v>
      </c>
      <c r="L100" s="5" t="s">
        <v>67</v>
      </c>
      <c r="M100" s="5" t="s">
        <v>624</v>
      </c>
      <c r="N100" s="3" t="s">
        <v>250</v>
      </c>
      <c r="O100" s="6">
        <v>21992</v>
      </c>
      <c r="P100" s="6">
        <v>23002</v>
      </c>
      <c r="Q100" s="6">
        <f>P100-O100</f>
      </c>
      <c r="R100" s="7">
        <v>1000</v>
      </c>
      <c r="S100" s="6">
        <f>IF(Q100-R100&lt;0,"0",Q100-R100)</f>
      </c>
      <c r="T100" s="6">
        <v>0</v>
      </c>
      <c r="U100" s="8">
        <v>46169.29166666667</v>
      </c>
      <c r="V100" s="8">
        <v>46171.393055555556</v>
      </c>
      <c r="W100" s="9">
        <f>V100-U100</f>
      </c>
      <c r="X100" s="10">
        <v>1.0416666666666667</v>
      </c>
      <c r="Y100" s="9">
        <f>IF(W100-X100&lt;0,"00:00:00",W100-X100)</f>
      </c>
      <c r="Z100" s="11">
        <v>145</v>
      </c>
      <c r="AA100" s="11">
        <v>6.9</v>
      </c>
      <c r="AB100" s="12">
        <f>Y100*Z100*24</f>
      </c>
      <c r="AC100" s="12">
        <f>S100*AA100</f>
      </c>
      <c r="AD100" s="12">
        <f>T100*AA100</f>
      </c>
      <c r="AE100" s="11">
        <v>6900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  <c r="AO100" s="3" t="s">
        <v>402</v>
      </c>
      <c r="AP100" s="6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275</v>
      </c>
      <c r="F101" s="3" t="s">
        <v>625</v>
      </c>
      <c r="G101" s="3" t="s">
        <v>626</v>
      </c>
      <c r="H101" s="3" t="s">
        <v>627</v>
      </c>
      <c r="I101" s="3" t="s">
        <v>279</v>
      </c>
      <c r="J101" s="3" t="s">
        <v>628</v>
      </c>
      <c r="K101" s="5" t="s">
        <v>629</v>
      </c>
      <c r="L101" s="5" t="s">
        <v>98</v>
      </c>
      <c r="M101" s="5" t="s">
        <v>630</v>
      </c>
      <c r="N101" s="3" t="s">
        <v>98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46169.34583333333</v>
      </c>
      <c r="V101" s="8">
        <v>46169.3978125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6.9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  <c r="AO101" s="3" t="s">
        <v>59</v>
      </c>
      <c r="AP101" s="6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60</v>
      </c>
      <c r="F102" s="3" t="s">
        <v>631</v>
      </c>
      <c r="G102" s="3" t="s">
        <v>632</v>
      </c>
      <c r="H102" s="3" t="s">
        <v>633</v>
      </c>
      <c r="I102" s="3" t="s">
        <v>199</v>
      </c>
      <c r="J102" s="3" t="s">
        <v>477</v>
      </c>
      <c r="K102" s="5" t="s">
        <v>66</v>
      </c>
      <c r="L102" s="5" t="s">
        <v>67</v>
      </c>
      <c r="M102" s="5" t="s">
        <v>68</v>
      </c>
      <c r="N102" s="4" t="s">
        <v>47</v>
      </c>
      <c r="O102" s="6">
        <v>201238</v>
      </c>
      <c r="P102" s="6">
        <v>201440</v>
      </c>
      <c r="Q102" s="6">
        <v>200</v>
      </c>
      <c r="R102" s="7">
        <v>300</v>
      </c>
      <c r="S102" s="6">
        <f>IF(Q102-R102&lt;0,"0",Q102-R102)</f>
      </c>
      <c r="T102" s="6">
        <v>0</v>
      </c>
      <c r="U102" s="8">
        <v>46169.04861111111</v>
      </c>
      <c r="V102" s="8">
        <v>46169.157222222224</v>
      </c>
      <c r="W102" s="9">
        <f>V102-U102</f>
      </c>
      <c r="X102" s="10">
        <v>0.2916666666666667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2070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  <c r="AO102" s="3" t="s">
        <v>634</v>
      </c>
      <c r="AP102" s="6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123</v>
      </c>
      <c r="F103" s="3" t="s">
        <v>635</v>
      </c>
      <c r="G103" s="3" t="s">
        <v>636</v>
      </c>
      <c r="H103" s="3" t="s">
        <v>637</v>
      </c>
      <c r="I103" s="3" t="s">
        <v>466</v>
      </c>
      <c r="J103" s="3" t="s">
        <v>638</v>
      </c>
      <c r="K103" s="5" t="s">
        <v>66</v>
      </c>
      <c r="L103" s="5" t="s">
        <v>67</v>
      </c>
      <c r="M103" s="5" t="s">
        <v>639</v>
      </c>
      <c r="N103" s="3" t="s">
        <v>67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46169.194444444445</v>
      </c>
      <c r="V103" s="8">
        <v>46169.235671296294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6.9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  <c r="AO103" s="3" t="s">
        <v>59</v>
      </c>
      <c r="AP103" s="6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123</v>
      </c>
      <c r="F104" s="3" t="s">
        <v>640</v>
      </c>
      <c r="G104" s="3" t="s">
        <v>641</v>
      </c>
      <c r="H104" s="3" t="s">
        <v>642</v>
      </c>
      <c r="I104" s="3" t="s">
        <v>228</v>
      </c>
      <c r="J104" s="3" t="s">
        <v>643</v>
      </c>
      <c r="K104" s="5" t="s">
        <v>644</v>
      </c>
      <c r="L104" s="5" t="s">
        <v>67</v>
      </c>
      <c r="M104" s="5" t="s">
        <v>645</v>
      </c>
      <c r="N104" s="3" t="s">
        <v>67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46169.25</v>
      </c>
      <c r="V104" s="8">
        <v>46169.331238425926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6.9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  <c r="AO104" s="3" t="s">
        <v>59</v>
      </c>
      <c r="AP104" s="6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646</v>
      </c>
      <c r="F105" s="3" t="s">
        <v>647</v>
      </c>
      <c r="G105" s="3" t="s">
        <v>648</v>
      </c>
      <c r="H105" s="3" t="s">
        <v>649</v>
      </c>
      <c r="I105" s="3" t="s">
        <v>127</v>
      </c>
      <c r="J105" s="3" t="s">
        <v>650</v>
      </c>
      <c r="K105" s="5" t="s">
        <v>169</v>
      </c>
      <c r="L105" s="5" t="s">
        <v>67</v>
      </c>
      <c r="M105" s="5" t="s">
        <v>651</v>
      </c>
      <c r="N105" s="3" t="s">
        <v>345</v>
      </c>
      <c r="O105" s="6">
        <v>23822</v>
      </c>
      <c r="P105" s="6">
        <v>26539</v>
      </c>
      <c r="Q105" s="6">
        <f>P105-O105</f>
      </c>
      <c r="R105" s="7">
        <v>2700</v>
      </c>
      <c r="S105" s="6">
        <f>IF(Q105-R105&lt;0,"0",Q105-R105)</f>
      </c>
      <c r="T105" s="6">
        <v>0</v>
      </c>
      <c r="U105" s="8">
        <v>46170.20833333333</v>
      </c>
      <c r="V105" s="8">
        <v>46174.56266203704</v>
      </c>
      <c r="W105" s="9">
        <f>V105-U105</f>
      </c>
      <c r="X105" s="10">
        <v>3.75</v>
      </c>
      <c r="Y105" s="9">
        <f>IF(W105-X105&lt;0,"00:00:00",W105-X105)</f>
      </c>
      <c r="Z105" s="11">
        <v>145</v>
      </c>
      <c r="AA105" s="11">
        <v>6.9</v>
      </c>
      <c r="AB105" s="12">
        <f>Y105*Z105*24</f>
      </c>
      <c r="AC105" s="12">
        <f>S105*AA105</f>
      </c>
      <c r="AD105" s="12">
        <f>T105*AA105</f>
      </c>
      <c r="AE105" s="11">
        <v>22635.93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  <c r="AO105" s="3" t="s">
        <v>652</v>
      </c>
      <c r="AP105" s="6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653</v>
      </c>
      <c r="F106" s="3" t="s">
        <v>654</v>
      </c>
      <c r="G106" s="3" t="s">
        <v>655</v>
      </c>
      <c r="H106" s="3" t="s">
        <v>656</v>
      </c>
      <c r="I106" s="3" t="s">
        <v>657</v>
      </c>
      <c r="J106" s="3" t="s">
        <v>658</v>
      </c>
      <c r="K106" s="5" t="s">
        <v>629</v>
      </c>
      <c r="L106" s="5" t="s">
        <v>98</v>
      </c>
      <c r="M106" s="5" t="s">
        <v>659</v>
      </c>
      <c r="N106" s="3" t="s">
        <v>98</v>
      </c>
      <c r="O106" s="6">
        <v>178738</v>
      </c>
      <c r="P106" s="6">
        <v>178751</v>
      </c>
      <c r="Q106" s="6">
        <v>200</v>
      </c>
      <c r="R106" s="7">
        <v>200</v>
      </c>
      <c r="S106" s="6">
        <f>IF(Q106-R106&lt;0,"0",Q106-R106)</f>
      </c>
      <c r="T106" s="6">
        <v>0</v>
      </c>
      <c r="U106" s="8">
        <v>46170.35416666667</v>
      </c>
      <c r="V106" s="8">
        <v>46170.49079861111</v>
      </c>
      <c r="W106" s="9">
        <f>V106-U106</f>
      </c>
      <c r="X106" s="10">
        <v>0.25</v>
      </c>
      <c r="Y106" s="9">
        <f>IF(W106-X106&lt;0,"00:00:00",W106-X106)</f>
      </c>
      <c r="Z106" s="11">
        <v>145</v>
      </c>
      <c r="AA106" s="11">
        <v>0</v>
      </c>
      <c r="AB106" s="12">
        <f>Y106*Z106*24</f>
      </c>
      <c r="AC106" s="12">
        <f>S106*AA106</f>
      </c>
      <c r="AD106" s="12">
        <f>T106*AA106</f>
      </c>
      <c r="AE106" s="11">
        <v>1380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  <c r="AO106" s="3" t="s">
        <v>80</v>
      </c>
      <c r="AP106" s="6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118</v>
      </c>
      <c r="F107" s="3" t="s">
        <v>660</v>
      </c>
      <c r="G107" s="3" t="s">
        <v>661</v>
      </c>
      <c r="H107" s="3" t="s">
        <v>662</v>
      </c>
      <c r="I107" s="3" t="s">
        <v>482</v>
      </c>
      <c r="J107" s="3" t="s">
        <v>663</v>
      </c>
      <c r="K107" s="5" t="s">
        <v>664</v>
      </c>
      <c r="L107" s="5" t="s">
        <v>122</v>
      </c>
      <c r="M107" s="5" t="s">
        <v>665</v>
      </c>
      <c r="N107" s="3" t="s">
        <v>67</v>
      </c>
      <c r="O107" s="6">
        <v>98265</v>
      </c>
      <c r="P107" s="6">
        <v>98367</v>
      </c>
      <c r="Q107" s="6">
        <v>300</v>
      </c>
      <c r="R107" s="7">
        <v>300</v>
      </c>
      <c r="S107" s="6">
        <f>IF(Q107-R107&lt;0,"0",Q107-R107)</f>
      </c>
      <c r="T107" s="6">
        <v>0</v>
      </c>
      <c r="U107" s="8">
        <v>46169.84027777778</v>
      </c>
      <c r="V107" s="8">
        <v>46169.95013888889</v>
      </c>
      <c r="W107" s="9">
        <f>V107-U107</f>
      </c>
      <c r="X107" s="10">
        <v>0.2916666666666667</v>
      </c>
      <c r="Y107" s="9">
        <f>IF(W107-X107&lt;0,"00:00:00",W107-X107)</f>
      </c>
      <c r="Z107" s="11">
        <v>145</v>
      </c>
      <c r="AA107" s="11">
        <v>0</v>
      </c>
      <c r="AB107" s="12">
        <f>Y107*Z107*24</f>
      </c>
      <c r="AC107" s="12">
        <f>S107*AA107</f>
      </c>
      <c r="AD107" s="12">
        <f>T107*AA107</f>
      </c>
      <c r="AE107" s="11">
        <v>2070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  <c r="AO107" s="3" t="s">
        <v>100</v>
      </c>
      <c r="AP107" s="6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118</v>
      </c>
      <c r="F108" s="3" t="s">
        <v>666</v>
      </c>
      <c r="G108" s="3" t="s">
        <v>661</v>
      </c>
      <c r="H108" s="3" t="s">
        <v>667</v>
      </c>
      <c r="I108" s="3" t="s">
        <v>482</v>
      </c>
      <c r="J108" s="3" t="s">
        <v>663</v>
      </c>
      <c r="K108" s="5" t="s">
        <v>664</v>
      </c>
      <c r="L108" s="5" t="s">
        <v>122</v>
      </c>
      <c r="M108" s="5" t="s">
        <v>665</v>
      </c>
      <c r="N108" s="3" t="s">
        <v>67</v>
      </c>
      <c r="O108" s="6">
        <v>252178</v>
      </c>
      <c r="P108" s="6">
        <v>252289</v>
      </c>
      <c r="Q108" s="6">
        <v>300</v>
      </c>
      <c r="R108" s="7">
        <v>300</v>
      </c>
      <c r="S108" s="6">
        <f>IF(Q108-R108&lt;0,"0",Q108-R108)</f>
      </c>
      <c r="T108" s="6">
        <v>0</v>
      </c>
      <c r="U108" s="8">
        <v>46169.84027777778</v>
      </c>
      <c r="V108" s="8">
        <v>46169.95196759259</v>
      </c>
      <c r="W108" s="9">
        <f>V108-U108</f>
      </c>
      <c r="X108" s="10">
        <v>0.2916666666666667</v>
      </c>
      <c r="Y108" s="9">
        <f>IF(W108-X108&lt;0,"00:00:00",W108-X108)</f>
      </c>
      <c r="Z108" s="11">
        <v>145</v>
      </c>
      <c r="AA108" s="11">
        <v>0</v>
      </c>
      <c r="AB108" s="12">
        <f>Y108*Z108*24</f>
      </c>
      <c r="AC108" s="12">
        <f>S108*AA108</f>
      </c>
      <c r="AD108" s="12">
        <f>T108*AA108</f>
      </c>
      <c r="AE108" s="11">
        <v>2070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  <c r="AO108" s="3" t="s">
        <v>100</v>
      </c>
      <c r="AP108" s="6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150</v>
      </c>
      <c r="F109" s="3" t="s">
        <v>668</v>
      </c>
      <c r="G109" s="3" t="s">
        <v>669</v>
      </c>
      <c r="H109" s="3" t="s">
        <v>670</v>
      </c>
      <c r="I109" s="3" t="s">
        <v>134</v>
      </c>
      <c r="J109" s="3" t="s">
        <v>671</v>
      </c>
      <c r="K109" s="5" t="s">
        <v>672</v>
      </c>
      <c r="L109" s="5" t="s">
        <v>122</v>
      </c>
      <c r="M109" s="5" t="s">
        <v>68</v>
      </c>
      <c r="N109" s="4" t="s">
        <v>47</v>
      </c>
      <c r="O109" s="6">
        <v>125959</v>
      </c>
      <c r="P109" s="6">
        <v>126207</v>
      </c>
      <c r="Q109" s="6">
        <v>200</v>
      </c>
      <c r="R109" s="7">
        <v>200</v>
      </c>
      <c r="S109" s="6">
        <f>IF(Q109-R109&lt;0,"0",Q109-R109)</f>
      </c>
      <c r="T109" s="6">
        <v>0</v>
      </c>
      <c r="U109" s="8">
        <v>46169.85416666667</v>
      </c>
      <c r="V109" s="8">
        <v>46170.04153935185</v>
      </c>
      <c r="W109" s="9">
        <f>V109-U109</f>
      </c>
      <c r="X109" s="10">
        <v>0.25</v>
      </c>
      <c r="Y109" s="9">
        <f>IF(W109-X109&lt;0,"00:00:00",W109-X109)</f>
      </c>
      <c r="Z109" s="11">
        <v>145</v>
      </c>
      <c r="AA109" s="11">
        <v>0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  <c r="AO109" s="3" t="s">
        <v>80</v>
      </c>
      <c r="AP109" s="6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117</v>
      </c>
      <c r="E110" s="3" t="s">
        <v>673</v>
      </c>
      <c r="F110" s="3" t="s">
        <v>674</v>
      </c>
      <c r="G110" s="3" t="s">
        <v>675</v>
      </c>
      <c r="H110" s="3" t="s">
        <v>676</v>
      </c>
      <c r="I110" s="3" t="s">
        <v>677</v>
      </c>
      <c r="J110" s="3" t="s">
        <v>678</v>
      </c>
      <c r="K110" s="5" t="s">
        <v>679</v>
      </c>
      <c r="L110" s="5" t="s">
        <v>67</v>
      </c>
      <c r="M110" s="5" t="s">
        <v>680</v>
      </c>
      <c r="N110" s="3" t="s">
        <v>122</v>
      </c>
      <c r="O110" s="6">
        <v>0</v>
      </c>
      <c r="P110" s="6">
        <v>0</v>
      </c>
      <c r="Q110" s="6">
        <v>0</v>
      </c>
      <c r="R110" s="7">
        <v>34</v>
      </c>
      <c r="S110" s="6">
        <f>IF(Q110-R110&lt;0,"0",Q110-R110)</f>
      </c>
      <c r="T110" s="6">
        <v>0</v>
      </c>
      <c r="U110" s="8">
        <v>46170.41666666667</v>
      </c>
      <c r="V110" s="8">
        <v>46170.41666666667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  <c r="AO110" s="3" t="s">
        <v>315</v>
      </c>
      <c r="AP110" s="6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117</v>
      </c>
      <c r="E111" s="3" t="s">
        <v>673</v>
      </c>
      <c r="F111" s="3" t="s">
        <v>681</v>
      </c>
      <c r="G111" s="3" t="s">
        <v>675</v>
      </c>
      <c r="H111" s="3" t="s">
        <v>682</v>
      </c>
      <c r="I111" s="3" t="s">
        <v>188</v>
      </c>
      <c r="J111" s="3" t="s">
        <v>678</v>
      </c>
      <c r="K111" s="5" t="s">
        <v>679</v>
      </c>
      <c r="L111" s="5" t="s">
        <v>67</v>
      </c>
      <c r="M111" s="5" t="s">
        <v>680</v>
      </c>
      <c r="N111" s="3" t="s">
        <v>122</v>
      </c>
      <c r="O111" s="6">
        <v>0</v>
      </c>
      <c r="P111" s="6">
        <v>0</v>
      </c>
      <c r="Q111" s="6">
        <v>0</v>
      </c>
      <c r="R111" s="7">
        <v>100</v>
      </c>
      <c r="S111" s="6">
        <f>IF(Q111-R111&lt;0,"0",Q111-R111)</f>
      </c>
      <c r="T111" s="6">
        <v>0</v>
      </c>
      <c r="U111" s="8">
        <v>46170.41666666667</v>
      </c>
      <c r="V111" s="8">
        <v>46170.41666666667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  <c r="AO111" s="3" t="s">
        <v>69</v>
      </c>
      <c r="AP111" s="6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673</v>
      </c>
      <c r="F112" s="3" t="s">
        <v>683</v>
      </c>
      <c r="G112" s="3" t="s">
        <v>684</v>
      </c>
      <c r="H112" s="3" t="s">
        <v>685</v>
      </c>
      <c r="I112" s="3" t="s">
        <v>686</v>
      </c>
      <c r="J112" s="3" t="s">
        <v>687</v>
      </c>
      <c r="K112" s="5" t="s">
        <v>679</v>
      </c>
      <c r="L112" s="5" t="s">
        <v>67</v>
      </c>
      <c r="M112" s="5" t="s">
        <v>680</v>
      </c>
      <c r="N112" s="3" t="s">
        <v>122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46170.41666666667</v>
      </c>
      <c r="V112" s="8">
        <v>46170.66142361111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6.9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  <c r="AO112" s="3" t="s">
        <v>59</v>
      </c>
      <c r="AP112" s="6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117</v>
      </c>
      <c r="E113" s="3" t="s">
        <v>60</v>
      </c>
      <c r="F113" s="3" t="s">
        <v>688</v>
      </c>
      <c r="G113" s="3" t="s">
        <v>689</v>
      </c>
      <c r="H113" s="3" t="s">
        <v>690</v>
      </c>
      <c r="I113" s="3" t="s">
        <v>199</v>
      </c>
      <c r="J113" s="4" t="s">
        <v>47</v>
      </c>
      <c r="K113" s="5" t="s">
        <v>66</v>
      </c>
      <c r="L113" s="5" t="s">
        <v>67</v>
      </c>
      <c r="M113" s="5" t="s">
        <v>68</v>
      </c>
      <c r="N113" s="4" t="s">
        <v>47</v>
      </c>
      <c r="O113" s="6">
        <v>0</v>
      </c>
      <c r="P113" s="6">
        <v>0</v>
      </c>
      <c r="Q113" s="6">
        <v>0</v>
      </c>
      <c r="R113" s="7">
        <v>200</v>
      </c>
      <c r="S113" s="6">
        <f>IF(Q113-R113&lt;0,"0",Q113-R113)</f>
      </c>
      <c r="T113" s="6">
        <v>0</v>
      </c>
      <c r="U113" s="8">
        <v>46170.04166666667</v>
      </c>
      <c r="V113" s="8">
        <v>46170.04166666667</v>
      </c>
      <c r="W113" s="9">
        <f>V113-U113</f>
      </c>
      <c r="X113" s="10">
        <v>0.25</v>
      </c>
      <c r="Y113" s="9">
        <f>IF(W113-X113&lt;0,"00:00:00",W113-X113)</f>
      </c>
      <c r="Z113" s="11">
        <v>145</v>
      </c>
      <c r="AA113" s="11">
        <v>0</v>
      </c>
      <c r="AB113" s="12">
        <f>Y113*Z113*24</f>
      </c>
      <c r="AC113" s="12">
        <f>S113*AA113</f>
      </c>
      <c r="AD113" s="12">
        <f>T113*AA113</f>
      </c>
      <c r="AE113" s="11">
        <v>690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  <c r="AO113" s="3" t="s">
        <v>80</v>
      </c>
      <c r="AP113" s="6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157</v>
      </c>
      <c r="F114" s="3" t="s">
        <v>691</v>
      </c>
      <c r="G114" s="3" t="s">
        <v>692</v>
      </c>
      <c r="H114" s="3" t="s">
        <v>693</v>
      </c>
      <c r="I114" s="3" t="s">
        <v>694</v>
      </c>
      <c r="J114" s="3" t="s">
        <v>695</v>
      </c>
      <c r="K114" s="5" t="s">
        <v>696</v>
      </c>
      <c r="L114" s="5" t="s">
        <v>49</v>
      </c>
      <c r="M114" s="5" t="s">
        <v>697</v>
      </c>
      <c r="N114" s="3" t="s">
        <v>336</v>
      </c>
      <c r="O114" s="6">
        <v>75935</v>
      </c>
      <c r="P114" s="6">
        <v>76135</v>
      </c>
      <c r="Q114" s="6">
        <v>500</v>
      </c>
      <c r="R114" s="7">
        <v>500</v>
      </c>
      <c r="S114" s="6">
        <f>IF(Q114-R114&lt;0,"0",Q114-R114)</f>
      </c>
      <c r="T114" s="6">
        <v>0</v>
      </c>
      <c r="U114" s="8">
        <v>46170.83333333333</v>
      </c>
      <c r="V114" s="8">
        <v>46171.116111111114</v>
      </c>
      <c r="W114" s="9">
        <f>V114-U114</f>
      </c>
      <c r="X114" s="10">
        <v>0.4583333333333333</v>
      </c>
      <c r="Y114" s="9">
        <f>IF(W114-X114&lt;0,"00:00:00",W114-X114)</f>
      </c>
      <c r="Z114" s="11">
        <v>145</v>
      </c>
      <c r="AA114" s="11">
        <v>0</v>
      </c>
      <c r="AB114" s="12">
        <f>Y114*Z114*24</f>
      </c>
      <c r="AC114" s="12">
        <f>S114*AA114</f>
      </c>
      <c r="AD114" s="12">
        <f>T114*AA114</f>
      </c>
      <c r="AE114" s="11">
        <v>3450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  <c r="AO114" s="3" t="s">
        <v>164</v>
      </c>
      <c r="AP114" s="6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41</v>
      </c>
      <c r="E115" s="3" t="s">
        <v>60</v>
      </c>
      <c r="F115" s="3" t="s">
        <v>698</v>
      </c>
      <c r="G115" s="3" t="s">
        <v>699</v>
      </c>
      <c r="H115" s="3" t="s">
        <v>700</v>
      </c>
      <c r="I115" s="3" t="s">
        <v>701</v>
      </c>
      <c r="J115" s="3" t="s">
        <v>517</v>
      </c>
      <c r="K115" s="5" t="s">
        <v>79</v>
      </c>
      <c r="L115" s="5" t="s">
        <v>67</v>
      </c>
      <c r="M115" s="5" t="s">
        <v>68</v>
      </c>
      <c r="N115" s="4" t="s">
        <v>47</v>
      </c>
      <c r="O115" s="6">
        <v>354349</v>
      </c>
      <c r="P115" s="6">
        <v>354425</v>
      </c>
      <c r="Q115" s="6">
        <v>200</v>
      </c>
      <c r="R115" s="7">
        <v>200</v>
      </c>
      <c r="S115" s="6">
        <f>IF(Q115-R115&lt;0,"0",Q115-R115)</f>
      </c>
      <c r="T115" s="6">
        <v>0</v>
      </c>
      <c r="U115" s="8">
        <v>46170.97916666667</v>
      </c>
      <c r="V115" s="8">
        <v>46170.99638888889</v>
      </c>
      <c r="W115" s="9">
        <f>V115-U115</f>
      </c>
      <c r="X115" s="10">
        <v>0.25</v>
      </c>
      <c r="Y115" s="9">
        <f>IF(W115-X115&lt;0,"00:00:00",W115-X115)</f>
      </c>
      <c r="Z115" s="11">
        <v>145</v>
      </c>
      <c r="AA115" s="11">
        <v>0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  <c r="AO115" s="3" t="s">
        <v>80</v>
      </c>
      <c r="AP115" s="6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702</v>
      </c>
      <c r="F116" s="3" t="s">
        <v>703</v>
      </c>
      <c r="G116" s="3" t="s">
        <v>704</v>
      </c>
      <c r="H116" s="3" t="s">
        <v>705</v>
      </c>
      <c r="I116" s="3" t="s">
        <v>228</v>
      </c>
      <c r="J116" s="3" t="s">
        <v>706</v>
      </c>
      <c r="K116" s="5" t="s">
        <v>169</v>
      </c>
      <c r="L116" s="5" t="s">
        <v>67</v>
      </c>
      <c r="M116" s="5" t="s">
        <v>707</v>
      </c>
      <c r="N116" s="3" t="s">
        <v>336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46171.006944444445</v>
      </c>
      <c r="V116" s="8">
        <v>46171.3491550926</v>
      </c>
      <c r="W116" s="9">
        <f>V116-U116</f>
      </c>
      <c r="X116" s="10">
        <v>0.4166666666666667</v>
      </c>
      <c r="Y116" s="9">
        <f>IF(W116-X116&lt;0,"00:00:00",W116-X116)</f>
      </c>
      <c r="Z116" s="11">
        <v>145</v>
      </c>
      <c r="AA116" s="11">
        <v>6.9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  <c r="AO116" s="3" t="s">
        <v>708</v>
      </c>
      <c r="AP116" s="6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528</v>
      </c>
      <c r="F117" s="3" t="s">
        <v>709</v>
      </c>
      <c r="G117" s="3" t="s">
        <v>710</v>
      </c>
      <c r="H117" s="3" t="s">
        <v>711</v>
      </c>
      <c r="I117" s="3" t="s">
        <v>712</v>
      </c>
      <c r="J117" s="3" t="s">
        <v>713</v>
      </c>
      <c r="K117" s="5" t="s">
        <v>327</v>
      </c>
      <c r="L117" s="5" t="s">
        <v>108</v>
      </c>
      <c r="M117" s="5" t="s">
        <v>68</v>
      </c>
      <c r="N117" s="4" t="s">
        <v>47</v>
      </c>
      <c r="O117" s="6">
        <v>222902</v>
      </c>
      <c r="P117" s="6">
        <v>222921</v>
      </c>
      <c r="Q117" s="6">
        <v>200</v>
      </c>
      <c r="R117" s="7">
        <v>100</v>
      </c>
      <c r="S117" s="6">
        <f>IF(Q117-R117&lt;0,"0",Q117-R117)</f>
      </c>
      <c r="T117" s="6">
        <v>0</v>
      </c>
      <c r="U117" s="8">
        <v>46171.20833333333</v>
      </c>
      <c r="V117" s="8">
        <v>46171.261354166665</v>
      </c>
      <c r="W117" s="9">
        <f>V117-U117</f>
      </c>
      <c r="X117" s="10">
        <v>0.125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735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  <c r="AO117" s="3" t="s">
        <v>242</v>
      </c>
      <c r="AP117" s="6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123</v>
      </c>
      <c r="F118" s="3" t="s">
        <v>714</v>
      </c>
      <c r="G118" s="3" t="s">
        <v>715</v>
      </c>
      <c r="H118" s="3" t="s">
        <v>716</v>
      </c>
      <c r="I118" s="3" t="s">
        <v>188</v>
      </c>
      <c r="J118" s="3" t="s">
        <v>717</v>
      </c>
      <c r="K118" s="5" t="s">
        <v>169</v>
      </c>
      <c r="L118" s="5" t="s">
        <v>67</v>
      </c>
      <c r="M118" s="5" t="s">
        <v>79</v>
      </c>
      <c r="N118" s="3" t="s">
        <v>67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46171.5625</v>
      </c>
      <c r="V118" s="8">
        <v>46171.739953703705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6.9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  <c r="AO118" s="3" t="s">
        <v>59</v>
      </c>
      <c r="AP118" s="6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101</v>
      </c>
      <c r="F119" s="3" t="s">
        <v>718</v>
      </c>
      <c r="G119" s="3" t="s">
        <v>719</v>
      </c>
      <c r="H119" s="3" t="s">
        <v>720</v>
      </c>
      <c r="I119" s="3" t="s">
        <v>105</v>
      </c>
      <c r="J119" s="3" t="s">
        <v>539</v>
      </c>
      <c r="K119" s="5" t="s">
        <v>436</v>
      </c>
      <c r="L119" s="5" t="s">
        <v>108</v>
      </c>
      <c r="M119" s="5" t="s">
        <v>327</v>
      </c>
      <c r="N119" s="3" t="s">
        <v>108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46171.57291666667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7.35</v>
      </c>
      <c r="AB119" s="12">
        <f>Y119*Z119*24</f>
      </c>
      <c r="AC119" s="12">
        <f>S119*AA119</f>
      </c>
      <c r="AD119" s="12">
        <f>T119*AA119</f>
      </c>
      <c r="AE119" s="11">
        <v>735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  <c r="AO119" s="3" t="s">
        <v>50</v>
      </c>
      <c r="AP119" s="6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101</v>
      </c>
      <c r="F120" s="3" t="s">
        <v>721</v>
      </c>
      <c r="G120" s="3" t="s">
        <v>719</v>
      </c>
      <c r="H120" s="3" t="s">
        <v>722</v>
      </c>
      <c r="I120" s="3" t="s">
        <v>414</v>
      </c>
      <c r="J120" s="3" t="s">
        <v>539</v>
      </c>
      <c r="K120" s="5" t="s">
        <v>436</v>
      </c>
      <c r="L120" s="5" t="s">
        <v>108</v>
      </c>
      <c r="M120" s="5" t="s">
        <v>327</v>
      </c>
      <c r="N120" s="3" t="s">
        <v>108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46171.57291666667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7.35</v>
      </c>
      <c r="AB120" s="12">
        <f>Y120*Z120*24</f>
      </c>
      <c r="AC120" s="12">
        <f>S120*AA120</f>
      </c>
      <c r="AD120" s="12">
        <f>T120*AA120</f>
      </c>
      <c r="AE120" s="11">
        <v>735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  <c r="AO120" s="3" t="s">
        <v>50</v>
      </c>
      <c r="AP120" s="6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60</v>
      </c>
      <c r="F121" s="3" t="s">
        <v>723</v>
      </c>
      <c r="G121" s="3" t="s">
        <v>724</v>
      </c>
      <c r="H121" s="3" t="s">
        <v>725</v>
      </c>
      <c r="I121" s="3" t="s">
        <v>726</v>
      </c>
      <c r="J121" s="3" t="s">
        <v>727</v>
      </c>
      <c r="K121" s="5" t="s">
        <v>79</v>
      </c>
      <c r="L121" s="5" t="s">
        <v>67</v>
      </c>
      <c r="M121" s="5" t="s">
        <v>68</v>
      </c>
      <c r="N121" s="4" t="s">
        <v>47</v>
      </c>
      <c r="O121" s="6">
        <v>47966</v>
      </c>
      <c r="P121" s="6">
        <v>48178</v>
      </c>
      <c r="Q121" s="6">
        <v>200</v>
      </c>
      <c r="R121" s="7">
        <v>200</v>
      </c>
      <c r="S121" s="6">
        <f>IF(Q121-R121&lt;0,"0",Q121-R121)</f>
      </c>
      <c r="T121" s="6">
        <v>0</v>
      </c>
      <c r="U121" s="8">
        <v>46172.30208333333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  <c r="AO121" s="3" t="s">
        <v>80</v>
      </c>
      <c r="AP121" s="6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60</v>
      </c>
      <c r="F122" s="3" t="s">
        <v>728</v>
      </c>
      <c r="G122" s="3" t="s">
        <v>729</v>
      </c>
      <c r="H122" s="3" t="s">
        <v>730</v>
      </c>
      <c r="I122" s="3" t="s">
        <v>211</v>
      </c>
      <c r="J122" s="3" t="s">
        <v>731</v>
      </c>
      <c r="K122" s="5" t="s">
        <v>66</v>
      </c>
      <c r="L122" s="5" t="s">
        <v>67</v>
      </c>
      <c r="M122" s="5" t="s">
        <v>68</v>
      </c>
      <c r="N122" s="4" t="s">
        <v>47</v>
      </c>
      <c r="O122" s="6">
        <v>424508</v>
      </c>
      <c r="P122" s="6">
        <v>424709</v>
      </c>
      <c r="Q122" s="6">
        <v>200</v>
      </c>
      <c r="R122" s="7">
        <v>300</v>
      </c>
      <c r="S122" s="6">
        <f>IF(Q122-R122&lt;0,"0",Q122-R122)</f>
      </c>
      <c r="T122" s="6">
        <v>0</v>
      </c>
      <c r="U122" s="8">
        <v>46172.96875</v>
      </c>
      <c r="V122" s="8">
        <v>46173.35246527778</v>
      </c>
      <c r="W122" s="9">
        <f>V122-U122</f>
      </c>
      <c r="X122" s="10">
        <v>0.2916666666666667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2070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  <c r="AO122" s="3" t="s">
        <v>634</v>
      </c>
      <c r="AP122" s="6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60</v>
      </c>
      <c r="F123" s="3" t="s">
        <v>732</v>
      </c>
      <c r="G123" s="3" t="s">
        <v>733</v>
      </c>
      <c r="H123" s="3" t="s">
        <v>734</v>
      </c>
      <c r="I123" s="3" t="s">
        <v>735</v>
      </c>
      <c r="J123" s="3" t="s">
        <v>736</v>
      </c>
      <c r="K123" s="5" t="s">
        <v>79</v>
      </c>
      <c r="L123" s="5" t="s">
        <v>67</v>
      </c>
      <c r="M123" s="5" t="s">
        <v>68</v>
      </c>
      <c r="N123" s="4" t="s">
        <v>47</v>
      </c>
      <c r="O123" s="6">
        <v>73691</v>
      </c>
      <c r="P123" s="6">
        <v>73892</v>
      </c>
      <c r="Q123" s="6">
        <v>200</v>
      </c>
      <c r="R123" s="7">
        <v>223</v>
      </c>
      <c r="S123" s="6">
        <f>IF(Q123-R123&lt;0,"0",Q123-R123)</f>
      </c>
      <c r="T123" s="6">
        <v>0</v>
      </c>
      <c r="U123" s="8">
        <v>46173.743055555555</v>
      </c>
      <c r="V123" s="8">
        <v>46173.90266203704</v>
      </c>
      <c r="W123" s="9">
        <f>V123-U123</f>
      </c>
      <c r="X123" s="10">
        <v>0.3333333333333333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1538.7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  <c r="AO123" s="3" t="s">
        <v>737</v>
      </c>
      <c r="AP123" s="6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738</v>
      </c>
      <c r="F124" s="3" t="s">
        <v>739</v>
      </c>
      <c r="G124" s="3" t="s">
        <v>740</v>
      </c>
      <c r="H124" s="3" t="s">
        <v>741</v>
      </c>
      <c r="I124" s="3" t="s">
        <v>216</v>
      </c>
      <c r="J124" s="3" t="s">
        <v>742</v>
      </c>
      <c r="K124" s="5" t="s">
        <v>665</v>
      </c>
      <c r="L124" s="5" t="s">
        <v>67</v>
      </c>
      <c r="M124" s="5" t="s">
        <v>328</v>
      </c>
      <c r="N124" s="4" t="s">
        <v>47</v>
      </c>
      <c r="O124" s="6">
        <v>24246</v>
      </c>
      <c r="P124" s="6">
        <v>24284</v>
      </c>
      <c r="Q124" s="6">
        <f>P124-O124</f>
      </c>
      <c r="R124" s="7">
        <v>100</v>
      </c>
      <c r="S124" s="6">
        <f>IF(Q124-R124&lt;0,"0",Q124-R124)</f>
      </c>
      <c r="T124" s="6">
        <v>0</v>
      </c>
      <c r="U124" s="8">
        <v>46173.97916666667</v>
      </c>
      <c r="V124" s="8">
        <v>46174.059166666666</v>
      </c>
      <c r="W124" s="9">
        <f>V124-U124</f>
      </c>
      <c r="X124" s="10">
        <v>0.125</v>
      </c>
      <c r="Y124" s="9">
        <f>IF(W124-X124&lt;0,"00:00:00",W124-X124)</f>
      </c>
      <c r="Z124" s="11">
        <v>145</v>
      </c>
      <c r="AA124" s="11">
        <v>6.9</v>
      </c>
      <c r="AB124" s="12">
        <f>Y124*Z124*24</f>
      </c>
      <c r="AC124" s="12">
        <f>S124*AA124</f>
      </c>
      <c r="AD124" s="12">
        <f>T124*AA124</f>
      </c>
      <c r="AE124" s="11">
        <v>690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  <c r="AO124" s="3" t="s">
        <v>59</v>
      </c>
      <c r="AP124" s="6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738</v>
      </c>
      <c r="F125" s="3" t="s">
        <v>743</v>
      </c>
      <c r="G125" s="3" t="s">
        <v>744</v>
      </c>
      <c r="H125" s="3" t="s">
        <v>745</v>
      </c>
      <c r="I125" s="3" t="s">
        <v>735</v>
      </c>
      <c r="J125" s="3" t="s">
        <v>746</v>
      </c>
      <c r="K125" s="5" t="s">
        <v>665</v>
      </c>
      <c r="L125" s="5" t="s">
        <v>67</v>
      </c>
      <c r="M125" s="5" t="s">
        <v>328</v>
      </c>
      <c r="N125" s="4" t="s">
        <v>47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46173.97916666667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  <c r="AO125" s="3" t="s">
        <v>600</v>
      </c>
      <c r="AP125" s="6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738</v>
      </c>
      <c r="F126" s="3" t="s">
        <v>747</v>
      </c>
      <c r="G126" s="3" t="s">
        <v>748</v>
      </c>
      <c r="H126" s="3" t="s">
        <v>749</v>
      </c>
      <c r="I126" s="3" t="s">
        <v>211</v>
      </c>
      <c r="J126" s="3" t="s">
        <v>750</v>
      </c>
      <c r="K126" s="5" t="s">
        <v>665</v>
      </c>
      <c r="L126" s="5" t="s">
        <v>67</v>
      </c>
      <c r="M126" s="5" t="s">
        <v>328</v>
      </c>
      <c r="N126" s="4" t="s">
        <v>47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46173.97916666667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  <c r="AO126" s="3" t="s">
        <v>600</v>
      </c>
      <c r="AP126" s="6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41</v>
      </c>
      <c r="E127" s="3" t="s">
        <v>612</v>
      </c>
      <c r="F127" s="3" t="s">
        <v>751</v>
      </c>
      <c r="G127" s="3" t="s">
        <v>752</v>
      </c>
      <c r="H127" s="3" t="s">
        <v>753</v>
      </c>
      <c r="I127" s="3" t="s">
        <v>265</v>
      </c>
      <c r="J127" s="3" t="s">
        <v>754</v>
      </c>
      <c r="K127" s="5" t="s">
        <v>755</v>
      </c>
      <c r="L127" s="5" t="s">
        <v>67</v>
      </c>
      <c r="M127" s="5" t="s">
        <v>756</v>
      </c>
      <c r="N127" s="3" t="s">
        <v>122</v>
      </c>
      <c r="O127" s="6">
        <v>6757</v>
      </c>
      <c r="P127" s="6">
        <v>7345</v>
      </c>
      <c r="Q127" s="6">
        <f>P127-O127</f>
      </c>
      <c r="R127" s="7">
        <v>486</v>
      </c>
      <c r="S127" s="6">
        <f>IF(Q127-R127&lt;0,"0",Q127-R127)</f>
      </c>
      <c r="T127" s="6">
        <v>0</v>
      </c>
      <c r="U127" s="8">
        <v>46174.5</v>
      </c>
      <c r="V127" s="8">
        <v>46175.43350694445</v>
      </c>
      <c r="W127" s="9">
        <f>V127-U127</f>
      </c>
      <c r="X127" s="10">
        <v>1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5071.65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  <c r="AO127" s="3" t="s">
        <v>757</v>
      </c>
      <c r="AP127" s="6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60</v>
      </c>
      <c r="F128" s="3" t="s">
        <v>758</v>
      </c>
      <c r="G128" s="3" t="s">
        <v>759</v>
      </c>
      <c r="H128" s="3" t="s">
        <v>760</v>
      </c>
      <c r="I128" s="3" t="s">
        <v>216</v>
      </c>
      <c r="J128" s="3" t="s">
        <v>517</v>
      </c>
      <c r="K128" s="5" t="s">
        <v>143</v>
      </c>
      <c r="L128" s="5" t="s">
        <v>67</v>
      </c>
      <c r="M128" s="5" t="s">
        <v>99</v>
      </c>
      <c r="N128" s="4" t="s">
        <v>47</v>
      </c>
      <c r="O128" s="6">
        <v>24343</v>
      </c>
      <c r="P128" s="6">
        <v>24419</v>
      </c>
      <c r="Q128" s="6">
        <v>200</v>
      </c>
      <c r="R128" s="7">
        <v>100</v>
      </c>
      <c r="S128" s="6">
        <f>IF(Q128-R128&lt;0,"0",Q128-R128)</f>
      </c>
      <c r="T128" s="6">
        <v>0</v>
      </c>
      <c r="U128" s="8">
        <v>46174.25</v>
      </c>
      <c r="V128" s="8">
        <v>46174.38878472222</v>
      </c>
      <c r="W128" s="9">
        <f>V128-U128</f>
      </c>
      <c r="X128" s="10">
        <v>0.125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690</v>
      </c>
      <c r="AF128" s="12">
        <v>25</v>
      </c>
      <c r="AG128" s="12">
        <f>SUM(AB128:AF128)</f>
      </c>
      <c r="AH128" s="3"/>
      <c r="AI128" s="3"/>
      <c r="AJ128" s="3"/>
      <c r="AK128" s="3"/>
      <c r="AL128" s="3"/>
      <c r="AO128" s="3" t="s">
        <v>69</v>
      </c>
      <c r="AP128" s="6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275</v>
      </c>
      <c r="F129" s="3" t="s">
        <v>761</v>
      </c>
      <c r="G129" s="3" t="s">
        <v>762</v>
      </c>
      <c r="H129" s="3" t="s">
        <v>763</v>
      </c>
      <c r="I129" s="3" t="s">
        <v>764</v>
      </c>
      <c r="J129" s="3" t="s">
        <v>765</v>
      </c>
      <c r="K129" s="5" t="s">
        <v>629</v>
      </c>
      <c r="L129" s="5" t="s">
        <v>98</v>
      </c>
      <c r="M129" s="5" t="s">
        <v>630</v>
      </c>
      <c r="N129" s="3" t="s">
        <v>98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46175.33333333333</v>
      </c>
      <c r="V129" s="8">
        <v>46175.41096064815</v>
      </c>
      <c r="W129" s="9">
        <f>V129-U129</f>
      </c>
      <c r="X129" s="10">
        <v>0.125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  <c r="AO129" s="3" t="s">
        <v>69</v>
      </c>
      <c r="AP129" s="6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275</v>
      </c>
      <c r="F130" s="3" t="s">
        <v>766</v>
      </c>
      <c r="G130" s="3" t="s">
        <v>762</v>
      </c>
      <c r="H130" s="3" t="s">
        <v>767</v>
      </c>
      <c r="I130" s="3" t="s">
        <v>768</v>
      </c>
      <c r="J130" s="3" t="s">
        <v>765</v>
      </c>
      <c r="K130" s="5" t="s">
        <v>629</v>
      </c>
      <c r="L130" s="5" t="s">
        <v>98</v>
      </c>
      <c r="M130" s="5" t="s">
        <v>630</v>
      </c>
      <c r="N130" s="3" t="s">
        <v>98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46175.33333333333</v>
      </c>
      <c r="V130" s="8">
        <v>46175.41181712963</v>
      </c>
      <c r="W130" s="9">
        <f>V130-U130</f>
      </c>
      <c r="X130" s="10">
        <v>0.125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  <c r="AO130" s="3" t="s">
        <v>769</v>
      </c>
      <c r="AP130" s="6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60</v>
      </c>
      <c r="F131" s="3" t="s">
        <v>770</v>
      </c>
      <c r="G131" s="3" t="s">
        <v>771</v>
      </c>
      <c r="H131" s="3" t="s">
        <v>772</v>
      </c>
      <c r="I131" s="3" t="s">
        <v>211</v>
      </c>
      <c r="J131" s="3" t="s">
        <v>773</v>
      </c>
      <c r="K131" s="5" t="s">
        <v>169</v>
      </c>
      <c r="L131" s="5" t="s">
        <v>67</v>
      </c>
      <c r="M131" s="5" t="s">
        <v>68</v>
      </c>
      <c r="N131" s="4" t="s">
        <v>47</v>
      </c>
      <c r="O131" s="6">
        <v>425328</v>
      </c>
      <c r="P131" s="6">
        <v>425528</v>
      </c>
      <c r="Q131" s="6">
        <v>200</v>
      </c>
      <c r="R131" s="7">
        <v>200</v>
      </c>
      <c r="S131" s="6">
        <f>IF(Q131-R131&lt;0,"0",Q131-R131)</f>
      </c>
      <c r="T131" s="6">
        <v>0</v>
      </c>
      <c r="U131" s="8">
        <v>46174.92361111111</v>
      </c>
      <c r="V131" s="8">
        <v>46175.15950231481</v>
      </c>
      <c r="W131" s="9">
        <f>V131-U131</f>
      </c>
      <c r="X131" s="10">
        <v>0.20833333333333334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  <c r="AO131" s="3" t="s">
        <v>507</v>
      </c>
      <c r="AP131" s="6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123</v>
      </c>
      <c r="F132" s="3" t="s">
        <v>774</v>
      </c>
      <c r="G132" s="3" t="s">
        <v>775</v>
      </c>
      <c r="H132" s="3" t="s">
        <v>776</v>
      </c>
      <c r="I132" s="3" t="s">
        <v>228</v>
      </c>
      <c r="J132" s="3" t="s">
        <v>777</v>
      </c>
      <c r="K132" s="5" t="s">
        <v>755</v>
      </c>
      <c r="L132" s="5" t="s">
        <v>67</v>
      </c>
      <c r="M132" s="5" t="s">
        <v>554</v>
      </c>
      <c r="N132" s="3" t="s">
        <v>67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46175.02083333333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  <c r="AO132" s="3" t="s">
        <v>778</v>
      </c>
      <c r="AP132" s="6">
        <f>Q132</f>
      </c>
    </row>
    <row r="133" ht="18" customHeight="1" spans="1:42" x14ac:dyDescent="0.25">
      <c r="A133" s="3" t="s">
        <v>38</v>
      </c>
      <c r="B133" s="3" t="s">
        <v>39</v>
      </c>
      <c r="C133" s="3" t="s">
        <v>40</v>
      </c>
      <c r="D133" s="3" t="s">
        <v>41</v>
      </c>
      <c r="E133" s="3" t="s">
        <v>218</v>
      </c>
      <c r="F133" s="3" t="s">
        <v>779</v>
      </c>
      <c r="G133" s="4" t="s">
        <v>47</v>
      </c>
      <c r="H133" s="3" t="s">
        <v>780</v>
      </c>
      <c r="I133" s="3" t="s">
        <v>216</v>
      </c>
      <c r="J133" s="3" t="s">
        <v>261</v>
      </c>
      <c r="K133" s="5" t="s">
        <v>169</v>
      </c>
      <c r="L133" s="5" t="s">
        <v>67</v>
      </c>
      <c r="M133" s="5" t="s">
        <v>223</v>
      </c>
      <c r="N133" s="4" t="s">
        <v>47</v>
      </c>
      <c r="O133" s="6">
        <v>24753</v>
      </c>
      <c r="P133" s="6">
        <v>24817</v>
      </c>
      <c r="Q133" s="6">
        <v>400</v>
      </c>
      <c r="R133" s="7">
        <v>400</v>
      </c>
      <c r="S133" s="6">
        <f>IF(Q133-R133&lt;0,"0",Q133-R133)</f>
      </c>
      <c r="T133" s="6">
        <v>0</v>
      </c>
      <c r="U133" s="8">
        <v>46175.29166666667</v>
      </c>
      <c r="V133" s="8">
        <v>46175.49615740741</v>
      </c>
      <c r="W133" s="9">
        <f>V133-U133</f>
      </c>
      <c r="X133" s="10">
        <v>0.375</v>
      </c>
      <c r="Y133" s="9">
        <f>IF(W133-X133&lt;0,"00:00:00",W133-X133)</f>
      </c>
      <c r="Z133" s="11">
        <v>145</v>
      </c>
      <c r="AA133" s="11">
        <v>0</v>
      </c>
      <c r="AB133" s="12">
        <f>Y133*Z133*24</f>
      </c>
      <c r="AC133" s="12">
        <f>S133*AA133</f>
      </c>
      <c r="AD133" s="12">
        <f>T133*AA133</f>
      </c>
      <c r="AE133" s="11">
        <v>2760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  <c r="AO133" s="3" t="s">
        <v>224</v>
      </c>
      <c r="AP133" s="6">
        <f>Q133</f>
      </c>
    </row>
    <row r="134" ht="18" customHeight="1" spans="1:42" x14ac:dyDescent="0.25">
      <c r="A134" s="3" t="s">
        <v>38</v>
      </c>
      <c r="B134" s="3" t="s">
        <v>39</v>
      </c>
      <c r="C134" s="3" t="s">
        <v>40</v>
      </c>
      <c r="D134" s="3" t="s">
        <v>41</v>
      </c>
      <c r="E134" s="3" t="s">
        <v>338</v>
      </c>
      <c r="F134" s="3" t="s">
        <v>781</v>
      </c>
      <c r="G134" s="3" t="s">
        <v>782</v>
      </c>
      <c r="H134" s="3" t="s">
        <v>783</v>
      </c>
      <c r="I134" s="3" t="s">
        <v>784</v>
      </c>
      <c r="J134" s="3" t="s">
        <v>343</v>
      </c>
      <c r="K134" s="5" t="s">
        <v>344</v>
      </c>
      <c r="L134" s="5" t="s">
        <v>345</v>
      </c>
      <c r="M134" s="5" t="s">
        <v>346</v>
      </c>
      <c r="N134" s="3" t="s">
        <v>345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46175.45833333333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0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  <c r="AO134" s="3" t="s">
        <v>785</v>
      </c>
      <c r="AP134" s="6">
        <f>Q134</f>
      </c>
    </row>
    <row r="135" ht="18" customHeight="1" spans="1:42" x14ac:dyDescent="0.25">
      <c r="A135" s="3" t="s">
        <v>38</v>
      </c>
      <c r="B135" s="3" t="s">
        <v>39</v>
      </c>
      <c r="C135" s="3" t="s">
        <v>40</v>
      </c>
      <c r="D135" s="3" t="s">
        <v>41</v>
      </c>
      <c r="E135" s="3" t="s">
        <v>375</v>
      </c>
      <c r="F135" s="3" t="s">
        <v>786</v>
      </c>
      <c r="G135" s="4" t="s">
        <v>47</v>
      </c>
      <c r="H135" s="3" t="s">
        <v>787</v>
      </c>
      <c r="I135" s="3" t="s">
        <v>788</v>
      </c>
      <c r="J135" s="3" t="s">
        <v>789</v>
      </c>
      <c r="K135" s="5" t="s">
        <v>680</v>
      </c>
      <c r="L135" s="5" t="s">
        <v>122</v>
      </c>
      <c r="M135" s="5" t="s">
        <v>790</v>
      </c>
      <c r="N135" s="3" t="s">
        <v>67</v>
      </c>
      <c r="O135" s="6">
        <v>158060</v>
      </c>
      <c r="P135" s="6">
        <v>158168</v>
      </c>
      <c r="Q135" s="6">
        <v>400</v>
      </c>
      <c r="R135" s="7">
        <v>400</v>
      </c>
      <c r="S135" s="6">
        <f>IF(Q135-R135&lt;0,"0",Q135-R135)</f>
      </c>
      <c r="T135" s="6">
        <v>0</v>
      </c>
      <c r="U135" s="8">
        <v>46175.53125</v>
      </c>
      <c r="V135" s="8">
        <v>46175.65190972222</v>
      </c>
      <c r="W135" s="9">
        <f>V135-U135</f>
      </c>
      <c r="X135" s="10">
        <v>0.375</v>
      </c>
      <c r="Y135" s="9">
        <f>IF(W135-X135&lt;0,"00:00:00",W135-X135)</f>
      </c>
      <c r="Z135" s="11">
        <v>145</v>
      </c>
      <c r="AA135" s="11">
        <v>0</v>
      </c>
      <c r="AB135" s="12">
        <f>Y135*Z135*24</f>
      </c>
      <c r="AC135" s="12">
        <f>S135*AA135</f>
      </c>
      <c r="AD135" s="12">
        <f>T135*AA135</f>
      </c>
      <c r="AE135" s="11">
        <v>2760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  <c r="AO135" s="3" t="s">
        <v>224</v>
      </c>
      <c r="AP135" s="6">
        <f>Q135</f>
      </c>
    </row>
    <row r="136" ht="18" customHeight="1" spans="1:42" x14ac:dyDescent="0.2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195</v>
      </c>
      <c r="F136" s="3" t="s">
        <v>791</v>
      </c>
      <c r="G136" s="4" t="s">
        <v>47</v>
      </c>
      <c r="H136" s="3" t="s">
        <v>792</v>
      </c>
      <c r="I136" s="3" t="s">
        <v>442</v>
      </c>
      <c r="J136" s="3" t="s">
        <v>793</v>
      </c>
      <c r="K136" s="5" t="s">
        <v>169</v>
      </c>
      <c r="L136" s="5" t="s">
        <v>67</v>
      </c>
      <c r="M136" s="5" t="s">
        <v>794</v>
      </c>
      <c r="N136" s="3" t="s">
        <v>98</v>
      </c>
      <c r="O136" s="6">
        <v>8333</v>
      </c>
      <c r="P136" s="6">
        <v>9201</v>
      </c>
      <c r="Q136" s="6">
        <f>P136-O136</f>
      </c>
      <c r="R136" s="7">
        <v>758</v>
      </c>
      <c r="S136" s="6">
        <f>IF(Q136-R136&lt;0,"0",Q136-R136)</f>
      </c>
      <c r="T136" s="6">
        <v>0</v>
      </c>
      <c r="U136" s="8">
        <v>46175.55902777778</v>
      </c>
      <c r="V136" s="8">
        <v>46178.74339120371</v>
      </c>
      <c r="W136" s="9">
        <f>V136-U136</f>
      </c>
      <c r="X136" s="10">
        <v>1.4166666666666667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7412.45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  <c r="AO136" s="3" t="s">
        <v>202</v>
      </c>
      <c r="AP136" s="6">
        <f>Q136</f>
      </c>
    </row>
    <row r="137" ht="18" customHeight="1" spans="1:42" x14ac:dyDescent="0.25">
      <c r="A137" s="3" t="s">
        <v>38</v>
      </c>
      <c r="B137" s="3" t="s">
        <v>39</v>
      </c>
      <c r="C137" s="3" t="s">
        <v>40</v>
      </c>
      <c r="D137" s="3" t="s">
        <v>41</v>
      </c>
      <c r="E137" s="3" t="s">
        <v>195</v>
      </c>
      <c r="F137" s="3" t="s">
        <v>795</v>
      </c>
      <c r="G137" s="3" t="s">
        <v>796</v>
      </c>
      <c r="H137" s="3" t="s">
        <v>797</v>
      </c>
      <c r="I137" s="3" t="s">
        <v>211</v>
      </c>
      <c r="J137" s="3" t="s">
        <v>798</v>
      </c>
      <c r="K137" s="5" t="s">
        <v>169</v>
      </c>
      <c r="L137" s="5" t="s">
        <v>67</v>
      </c>
      <c r="M137" s="5" t="s">
        <v>794</v>
      </c>
      <c r="N137" s="3" t="s">
        <v>98</v>
      </c>
      <c r="O137" s="6">
        <v>425977</v>
      </c>
      <c r="P137" s="6">
        <v>427146</v>
      </c>
      <c r="Q137" s="6">
        <f>P137-O137</f>
      </c>
      <c r="R137" s="7">
        <v>758</v>
      </c>
      <c r="S137" s="6">
        <f>IF(Q137-R137&lt;0,"0",Q137-R137)</f>
      </c>
      <c r="T137" s="6">
        <v>0</v>
      </c>
      <c r="U137" s="8">
        <v>46175.59375</v>
      </c>
      <c r="V137" s="8">
        <v>46178.68891203703</v>
      </c>
      <c r="W137" s="9">
        <f>V137-U137</f>
      </c>
      <c r="X137" s="10">
        <v>1.4166666666666667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7412.45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  <c r="AO137" s="3" t="s">
        <v>202</v>
      </c>
      <c r="AP137" s="6">
        <f>Q137</f>
      </c>
    </row>
    <row r="138" ht="18" customHeight="1" spans="1:42" x14ac:dyDescent="0.25">
      <c r="A138" s="3" t="s">
        <v>38</v>
      </c>
      <c r="B138" s="3" t="s">
        <v>39</v>
      </c>
      <c r="C138" s="3" t="s">
        <v>40</v>
      </c>
      <c r="D138" s="3" t="s">
        <v>41</v>
      </c>
      <c r="E138" s="3" t="s">
        <v>195</v>
      </c>
      <c r="F138" s="3" t="s">
        <v>799</v>
      </c>
      <c r="G138" s="4" t="s">
        <v>47</v>
      </c>
      <c r="H138" s="3" t="s">
        <v>800</v>
      </c>
      <c r="I138" s="3" t="s">
        <v>216</v>
      </c>
      <c r="J138" s="3" t="s">
        <v>801</v>
      </c>
      <c r="K138" s="5" t="s">
        <v>169</v>
      </c>
      <c r="L138" s="5" t="s">
        <v>67</v>
      </c>
      <c r="M138" s="5" t="s">
        <v>794</v>
      </c>
      <c r="N138" s="3" t="s">
        <v>98</v>
      </c>
      <c r="O138" s="6">
        <v>24880</v>
      </c>
      <c r="P138" s="6">
        <v>25793</v>
      </c>
      <c r="Q138" s="6">
        <f>P138-O138</f>
      </c>
      <c r="R138" s="7">
        <v>758</v>
      </c>
      <c r="S138" s="6">
        <f>IF(Q138-R138&lt;0,"0",Q138-R138)</f>
      </c>
      <c r="T138" s="6">
        <v>0</v>
      </c>
      <c r="U138" s="8">
        <v>46175.59375</v>
      </c>
      <c r="V138" s="8">
        <v>46178.74564814815</v>
      </c>
      <c r="W138" s="9">
        <f>V138-U138</f>
      </c>
      <c r="X138" s="10">
        <v>1.4166666666666667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7412.45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  <c r="AO138" s="3" t="s">
        <v>202</v>
      </c>
      <c r="AP138" s="6">
        <f>Q138</f>
      </c>
    </row>
    <row r="139" ht="18" customHeight="1" spans="1:42" x14ac:dyDescent="0.25">
      <c r="A139" s="3" t="s">
        <v>38</v>
      </c>
      <c r="B139" s="3" t="s">
        <v>39</v>
      </c>
      <c r="C139" s="3" t="s">
        <v>40</v>
      </c>
      <c r="D139" s="3" t="s">
        <v>41</v>
      </c>
      <c r="E139" s="3" t="s">
        <v>195</v>
      </c>
      <c r="F139" s="3" t="s">
        <v>802</v>
      </c>
      <c r="G139" s="4" t="s">
        <v>47</v>
      </c>
      <c r="H139" s="3" t="s">
        <v>803</v>
      </c>
      <c r="I139" s="3" t="s">
        <v>735</v>
      </c>
      <c r="J139" s="3" t="s">
        <v>804</v>
      </c>
      <c r="K139" s="5" t="s">
        <v>169</v>
      </c>
      <c r="L139" s="5" t="s">
        <v>67</v>
      </c>
      <c r="M139" s="5" t="s">
        <v>794</v>
      </c>
      <c r="N139" s="3" t="s">
        <v>98</v>
      </c>
      <c r="O139" s="6">
        <v>74537</v>
      </c>
      <c r="P139" s="6">
        <v>75677</v>
      </c>
      <c r="Q139" s="6">
        <f>P139-O139</f>
      </c>
      <c r="R139" s="7">
        <v>758</v>
      </c>
      <c r="S139" s="6">
        <f>IF(Q139-R139&lt;0,"0",Q139-R139)</f>
      </c>
      <c r="T139" s="6">
        <v>0</v>
      </c>
      <c r="U139" s="8">
        <v>46175.59722222222</v>
      </c>
      <c r="V139" s="8">
        <v>46178.69055555556</v>
      </c>
      <c r="W139" s="9">
        <f>V139-U139</f>
      </c>
      <c r="X139" s="10">
        <v>1.4166666666666667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7412.45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  <c r="AO139" s="3" t="s">
        <v>202</v>
      </c>
      <c r="AP139" s="6">
        <f>Q139</f>
      </c>
    </row>
    <row r="140" ht="18" customHeight="1" spans="1:42" x14ac:dyDescent="0.2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646</v>
      </c>
      <c r="F140" s="3" t="s">
        <v>805</v>
      </c>
      <c r="G140" s="4" t="s">
        <v>47</v>
      </c>
      <c r="H140" s="3" t="s">
        <v>806</v>
      </c>
      <c r="I140" s="3" t="s">
        <v>265</v>
      </c>
      <c r="J140" s="3" t="s">
        <v>807</v>
      </c>
      <c r="K140" s="5" t="s">
        <v>169</v>
      </c>
      <c r="L140" s="5" t="s">
        <v>67</v>
      </c>
      <c r="M140" s="5" t="s">
        <v>651</v>
      </c>
      <c r="N140" s="3" t="s">
        <v>345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46176.25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  <c r="AO140" s="3" t="s">
        <v>808</v>
      </c>
      <c r="AP140" s="6">
        <f>Q140</f>
      </c>
    </row>
    <row r="141" ht="18" customHeight="1" spans="1:42" x14ac:dyDescent="0.25">
      <c r="A141" s="3" t="s">
        <v>38</v>
      </c>
      <c r="B141" s="3" t="s">
        <v>39</v>
      </c>
      <c r="C141" s="3" t="s">
        <v>40</v>
      </c>
      <c r="D141" s="3" t="s">
        <v>41</v>
      </c>
      <c r="E141" s="3" t="s">
        <v>60</v>
      </c>
      <c r="F141" s="3" t="s">
        <v>809</v>
      </c>
      <c r="G141" s="4" t="s">
        <v>47</v>
      </c>
      <c r="H141" s="3" t="s">
        <v>810</v>
      </c>
      <c r="I141" s="3" t="s">
        <v>726</v>
      </c>
      <c r="J141" s="3" t="s">
        <v>811</v>
      </c>
      <c r="K141" s="5" t="s">
        <v>812</v>
      </c>
      <c r="L141" s="5" t="s">
        <v>67</v>
      </c>
      <c r="M141" s="5" t="s">
        <v>169</v>
      </c>
      <c r="N141" s="3" t="s">
        <v>67</v>
      </c>
      <c r="O141" s="6">
        <v>51094</v>
      </c>
      <c r="P141" s="6">
        <v>51209</v>
      </c>
      <c r="Q141" s="6">
        <v>200</v>
      </c>
      <c r="R141" s="7">
        <v>200</v>
      </c>
      <c r="S141" s="6">
        <f>IF(Q141-R141&lt;0,"0",Q141-R141)</f>
      </c>
      <c r="T141" s="6">
        <v>0</v>
      </c>
      <c r="U141" s="8">
        <v>46176.45833333333</v>
      </c>
      <c r="V141" s="8">
        <v>46176.6265625</v>
      </c>
      <c r="W141" s="9">
        <f>V141-U141</f>
      </c>
      <c r="X141" s="10">
        <v>0.25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1380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  <c r="AO141" s="3" t="s">
        <v>80</v>
      </c>
      <c r="AP141" s="6">
        <f>Q141</f>
      </c>
    </row>
    <row r="142" ht="18" customHeight="1" spans="1:42" x14ac:dyDescent="0.2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123</v>
      </c>
      <c r="F142" s="3" t="s">
        <v>813</v>
      </c>
      <c r="G142" s="4" t="s">
        <v>47</v>
      </c>
      <c r="H142" s="3" t="s">
        <v>814</v>
      </c>
      <c r="I142" s="3" t="s">
        <v>815</v>
      </c>
      <c r="J142" s="3" t="s">
        <v>816</v>
      </c>
      <c r="K142" s="5" t="s">
        <v>817</v>
      </c>
      <c r="L142" s="5" t="s">
        <v>67</v>
      </c>
      <c r="M142" s="5" t="s">
        <v>79</v>
      </c>
      <c r="N142" s="3" t="s">
        <v>67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46176.41666666667</v>
      </c>
      <c r="V142" s="8">
        <v>46176.48533564815</v>
      </c>
      <c r="W142" s="9">
        <f>V142-U142</f>
      </c>
      <c r="X142" s="10">
        <v>0.25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  <c r="AO142" s="3" t="s">
        <v>69</v>
      </c>
      <c r="AP142" s="6">
        <f>Q142</f>
      </c>
    </row>
    <row r="143" ht="18" customHeight="1" spans="1:42" x14ac:dyDescent="0.25">
      <c r="A143" s="3" t="s">
        <v>38</v>
      </c>
      <c r="B143" s="3" t="s">
        <v>39</v>
      </c>
      <c r="C143" s="3" t="s">
        <v>40</v>
      </c>
      <c r="D143" s="3" t="s">
        <v>41</v>
      </c>
      <c r="E143" s="3" t="s">
        <v>316</v>
      </c>
      <c r="F143" s="3" t="s">
        <v>818</v>
      </c>
      <c r="G143" s="4" t="s">
        <v>47</v>
      </c>
      <c r="H143" s="3" t="s">
        <v>819</v>
      </c>
      <c r="I143" s="3" t="s">
        <v>726</v>
      </c>
      <c r="J143" s="3" t="s">
        <v>581</v>
      </c>
      <c r="K143" s="5" t="s">
        <v>321</v>
      </c>
      <c r="L143" s="5" t="s">
        <v>67</v>
      </c>
      <c r="M143" s="5" t="s">
        <v>79</v>
      </c>
      <c r="N143" s="3" t="s">
        <v>67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46175.86111111111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  <c r="AO143" s="3" t="s">
        <v>820</v>
      </c>
      <c r="AP143" s="6">
        <f>Q143</f>
      </c>
    </row>
    <row r="144" ht="18" customHeight="1" spans="1:42" x14ac:dyDescent="0.2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653</v>
      </c>
      <c r="F144" s="3" t="s">
        <v>821</v>
      </c>
      <c r="G144" s="4" t="s">
        <v>47</v>
      </c>
      <c r="H144" s="3" t="s">
        <v>822</v>
      </c>
      <c r="I144" s="3" t="s">
        <v>823</v>
      </c>
      <c r="J144" s="3" t="s">
        <v>824</v>
      </c>
      <c r="K144" s="5" t="s">
        <v>825</v>
      </c>
      <c r="L144" s="5" t="s">
        <v>98</v>
      </c>
      <c r="M144" s="5" t="s">
        <v>68</v>
      </c>
      <c r="N144" s="4" t="s">
        <v>47</v>
      </c>
      <c r="O144" s="6">
        <v>110426</v>
      </c>
      <c r="P144" s="6">
        <v>110626</v>
      </c>
      <c r="Q144" s="6">
        <v>200</v>
      </c>
      <c r="R144" s="7">
        <v>200</v>
      </c>
      <c r="S144" s="6">
        <f>IF(Q144-R144&lt;0,"0",Q144-R144)</f>
      </c>
      <c r="T144" s="6">
        <v>0</v>
      </c>
      <c r="U144" s="8">
        <v>46175.90277777778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  <c r="AO144" s="3" t="s">
        <v>80</v>
      </c>
      <c r="AP144" s="6">
        <f>Q144</f>
      </c>
    </row>
    <row r="145" ht="18" customHeight="1" spans="1:42" x14ac:dyDescent="0.25">
      <c r="A145" s="3" t="s">
        <v>38</v>
      </c>
      <c r="B145" s="3" t="s">
        <v>39</v>
      </c>
      <c r="C145" s="3" t="s">
        <v>40</v>
      </c>
      <c r="D145" s="3" t="s">
        <v>41</v>
      </c>
      <c r="E145" s="3" t="s">
        <v>450</v>
      </c>
      <c r="F145" s="3" t="s">
        <v>826</v>
      </c>
      <c r="G145" s="4" t="s">
        <v>47</v>
      </c>
      <c r="H145" s="3" t="s">
        <v>827</v>
      </c>
      <c r="I145" s="3" t="s">
        <v>585</v>
      </c>
      <c r="J145" s="3" t="s">
        <v>828</v>
      </c>
      <c r="K145" s="5" t="s">
        <v>394</v>
      </c>
      <c r="L145" s="5" t="s">
        <v>88</v>
      </c>
      <c r="M145" s="5" t="s">
        <v>99</v>
      </c>
      <c r="N145" s="4" t="s">
        <v>47</v>
      </c>
      <c r="O145" s="6">
        <v>256517</v>
      </c>
      <c r="P145" s="6">
        <v>256830</v>
      </c>
      <c r="Q145" s="6">
        <v>300</v>
      </c>
      <c r="R145" s="7">
        <v>300</v>
      </c>
      <c r="S145" s="6">
        <f>IF(Q145-R145&lt;0,"0",Q145-R145)</f>
      </c>
      <c r="T145" s="6">
        <v>0</v>
      </c>
      <c r="U145" s="8">
        <v>46176.1875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  <c r="AO145" s="3" t="s">
        <v>457</v>
      </c>
      <c r="AP145" s="6">
        <f>Q145</f>
      </c>
    </row>
    <row r="146" ht="18" customHeight="1" spans="1:42" x14ac:dyDescent="0.2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51</v>
      </c>
      <c r="F146" s="3" t="s">
        <v>829</v>
      </c>
      <c r="G146" s="4" t="s">
        <v>47</v>
      </c>
      <c r="H146" s="3" t="s">
        <v>830</v>
      </c>
      <c r="I146" s="3" t="s">
        <v>831</v>
      </c>
      <c r="J146" s="3" t="s">
        <v>56</v>
      </c>
      <c r="K146" s="5" t="s">
        <v>832</v>
      </c>
      <c r="L146" s="5" t="s">
        <v>58</v>
      </c>
      <c r="M146" s="5" t="s">
        <v>833</v>
      </c>
      <c r="N146" s="3" t="s">
        <v>58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46176.25</v>
      </c>
      <c r="V146" s="8">
        <v>46176.32277777778</v>
      </c>
      <c r="W146" s="9">
        <f>V146-U146</f>
      </c>
      <c r="X146" s="10">
        <v>0.125</v>
      </c>
      <c r="Y146" s="9">
        <f>IF(W146-X146&lt;0,"00:00:00",W146-X146)</f>
      </c>
      <c r="Z146" s="11">
        <v>145</v>
      </c>
      <c r="AA146" s="11">
        <v>6.9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  <c r="AO146" s="3" t="s">
        <v>59</v>
      </c>
      <c r="AP146" s="6">
        <f>Q146</f>
      </c>
    </row>
    <row r="147" ht="18" customHeight="1" spans="1:42" x14ac:dyDescent="0.25">
      <c r="A147" s="3" t="s">
        <v>38</v>
      </c>
      <c r="B147" s="3" t="s">
        <v>39</v>
      </c>
      <c r="C147" s="3" t="s">
        <v>40</v>
      </c>
      <c r="D147" s="3" t="s">
        <v>41</v>
      </c>
      <c r="E147" s="3" t="s">
        <v>243</v>
      </c>
      <c r="F147" s="3" t="s">
        <v>834</v>
      </c>
      <c r="G147" s="4" t="s">
        <v>47</v>
      </c>
      <c r="H147" s="3" t="s">
        <v>835</v>
      </c>
      <c r="I147" s="3" t="s">
        <v>836</v>
      </c>
      <c r="J147" s="3" t="s">
        <v>837</v>
      </c>
      <c r="K147" s="5" t="s">
        <v>249</v>
      </c>
      <c r="L147" s="5" t="s">
        <v>250</v>
      </c>
      <c r="M147" s="5" t="s">
        <v>838</v>
      </c>
      <c r="N147" s="3" t="s">
        <v>250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46176.29166666667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6.9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  <c r="AO147" s="3" t="s">
        <v>90</v>
      </c>
      <c r="AP147" s="6">
        <f>Q147</f>
      </c>
    </row>
    <row r="148" ht="18" customHeight="1" spans="1:42" x14ac:dyDescent="0.2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123</v>
      </c>
      <c r="F148" s="3" t="s">
        <v>839</v>
      </c>
      <c r="G148" s="4" t="s">
        <v>47</v>
      </c>
      <c r="H148" s="3" t="s">
        <v>840</v>
      </c>
      <c r="I148" s="3" t="s">
        <v>228</v>
      </c>
      <c r="J148" s="3" t="s">
        <v>841</v>
      </c>
      <c r="K148" s="5" t="s">
        <v>169</v>
      </c>
      <c r="L148" s="5" t="s">
        <v>67</v>
      </c>
      <c r="M148" s="5" t="s">
        <v>842</v>
      </c>
      <c r="N148" s="3" t="s">
        <v>67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46176.33333333333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  <c r="AO148" s="3" t="s">
        <v>778</v>
      </c>
      <c r="AP148" s="6">
        <f>Q148</f>
      </c>
    </row>
    <row r="149" ht="18" customHeight="1" spans="1:42" x14ac:dyDescent="0.25">
      <c r="A149" s="3" t="s">
        <v>38</v>
      </c>
      <c r="B149" s="3" t="s">
        <v>39</v>
      </c>
      <c r="C149" s="3" t="s">
        <v>40</v>
      </c>
      <c r="D149" s="3" t="s">
        <v>41</v>
      </c>
      <c r="E149" s="3" t="s">
        <v>150</v>
      </c>
      <c r="F149" s="3" t="s">
        <v>843</v>
      </c>
      <c r="G149" s="4" t="s">
        <v>47</v>
      </c>
      <c r="H149" s="3" t="s">
        <v>844</v>
      </c>
      <c r="I149" s="3" t="s">
        <v>311</v>
      </c>
      <c r="J149" s="3" t="s">
        <v>845</v>
      </c>
      <c r="K149" s="5" t="s">
        <v>846</v>
      </c>
      <c r="L149" s="5" t="s">
        <v>122</v>
      </c>
      <c r="M149" s="5" t="s">
        <v>68</v>
      </c>
      <c r="N149" s="4" t="s">
        <v>47</v>
      </c>
      <c r="O149" s="6">
        <v>126627</v>
      </c>
      <c r="P149" s="6">
        <v>126827</v>
      </c>
      <c r="Q149" s="6">
        <v>200</v>
      </c>
      <c r="R149" s="7">
        <v>200</v>
      </c>
      <c r="S149" s="6">
        <f>IF(Q149-R149&lt;0,"0",Q149-R149)</f>
      </c>
      <c r="T149" s="6">
        <v>0</v>
      </c>
      <c r="U149" s="8">
        <v>46176.84375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  <c r="AO149" s="3" t="s">
        <v>80</v>
      </c>
      <c r="AP149" s="6">
        <f>Q149</f>
      </c>
    </row>
    <row r="150" ht="18" customHeight="1" spans="1:42" x14ac:dyDescent="0.25">
      <c r="A150" s="3" t="s">
        <v>38</v>
      </c>
      <c r="B150" s="3" t="s">
        <v>39</v>
      </c>
      <c r="C150" s="3" t="s">
        <v>40</v>
      </c>
      <c r="D150" s="3" t="s">
        <v>117</v>
      </c>
      <c r="E150" s="3" t="s">
        <v>389</v>
      </c>
      <c r="F150" s="3" t="s">
        <v>847</v>
      </c>
      <c r="G150" s="4" t="s">
        <v>47</v>
      </c>
      <c r="H150" s="3" t="s">
        <v>848</v>
      </c>
      <c r="I150" s="3" t="s">
        <v>585</v>
      </c>
      <c r="J150" s="3" t="s">
        <v>849</v>
      </c>
      <c r="K150" s="5" t="s">
        <v>394</v>
      </c>
      <c r="L150" s="5" t="s">
        <v>88</v>
      </c>
      <c r="M150" s="5" t="s">
        <v>68</v>
      </c>
      <c r="N150" s="4" t="s">
        <v>47</v>
      </c>
      <c r="O150" s="6">
        <v>0</v>
      </c>
      <c r="P150" s="6">
        <v>0</v>
      </c>
      <c r="Q150" s="6">
        <v>0</v>
      </c>
      <c r="R150" s="7">
        <v>200</v>
      </c>
      <c r="S150" s="6">
        <f>IF(Q150-R150&lt;0,"0",Q150-R150)</f>
      </c>
      <c r="T150" s="6">
        <v>0</v>
      </c>
      <c r="U150" s="8">
        <v>46176.870833333334</v>
      </c>
      <c r="V150" s="8">
        <v>46176.870833333334</v>
      </c>
      <c r="W150" s="9">
        <f>V150-U150</f>
      </c>
      <c r="X150" s="10">
        <v>0.20833333333333334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690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  <c r="AO150" s="3" t="s">
        <v>395</v>
      </c>
      <c r="AP150" s="6">
        <f>Q150</f>
      </c>
    </row>
    <row r="151" ht="18" customHeight="1" spans="1:42" x14ac:dyDescent="0.25">
      <c r="A151" s="3" t="s">
        <v>38</v>
      </c>
      <c r="B151" s="3" t="s">
        <v>39</v>
      </c>
      <c r="C151" s="3" t="s">
        <v>40</v>
      </c>
      <c r="D151" s="3" t="s">
        <v>41</v>
      </c>
      <c r="E151" s="3" t="s">
        <v>850</v>
      </c>
      <c r="F151" s="3" t="s">
        <v>851</v>
      </c>
      <c r="G151" s="4" t="s">
        <v>47</v>
      </c>
      <c r="H151" s="3" t="s">
        <v>852</v>
      </c>
      <c r="I151" s="3" t="s">
        <v>260</v>
      </c>
      <c r="J151" s="3" t="s">
        <v>853</v>
      </c>
      <c r="K151" s="5" t="s">
        <v>169</v>
      </c>
      <c r="L151" s="5" t="s">
        <v>67</v>
      </c>
      <c r="M151" s="5" t="s">
        <v>79</v>
      </c>
      <c r="N151" s="3" t="s">
        <v>67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46176.940775462965</v>
      </c>
      <c r="V151" s="8">
        <v>46176.98792824074</v>
      </c>
      <c r="W151" s="9">
        <f>V151-U151</f>
      </c>
      <c r="X151" s="10">
        <v>0.25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  <c r="AO151" s="3" t="s">
        <v>69</v>
      </c>
      <c r="AP151" s="6">
        <f>Q151</f>
      </c>
    </row>
    <row r="152" ht="18" customHeight="1" spans="1:42" x14ac:dyDescent="0.2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653</v>
      </c>
      <c r="F152" s="3" t="s">
        <v>854</v>
      </c>
      <c r="G152" s="4" t="s">
        <v>47</v>
      </c>
      <c r="H152" s="3" t="s">
        <v>855</v>
      </c>
      <c r="I152" s="3" t="s">
        <v>856</v>
      </c>
      <c r="J152" s="3" t="s">
        <v>857</v>
      </c>
      <c r="K152" s="5" t="s">
        <v>825</v>
      </c>
      <c r="L152" s="5" t="s">
        <v>98</v>
      </c>
      <c r="M152" s="5" t="s">
        <v>68</v>
      </c>
      <c r="N152" s="4" t="s">
        <v>47</v>
      </c>
      <c r="O152" s="6">
        <v>121341</v>
      </c>
      <c r="P152" s="6">
        <v>121541</v>
      </c>
      <c r="Q152" s="6">
        <v>200</v>
      </c>
      <c r="R152" s="7">
        <v>200</v>
      </c>
      <c r="S152" s="6">
        <f>IF(Q152-R152&lt;0,"0",Q152-R152)</f>
      </c>
      <c r="T152" s="6">
        <v>0</v>
      </c>
      <c r="U152" s="8">
        <v>46176.930555555555</v>
      </c>
      <c r="V152" s="8">
        <v>46177.287141203706</v>
      </c>
      <c r="W152" s="9">
        <f>V152-U152</f>
      </c>
      <c r="X152" s="10">
        <v>0.25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  <c r="AO152" s="3" t="s">
        <v>80</v>
      </c>
      <c r="AP152" s="6">
        <f>Q152</f>
      </c>
    </row>
    <row r="153" ht="18" customHeight="1" spans="1:42" x14ac:dyDescent="0.25">
      <c r="A153" s="3" t="s">
        <v>38</v>
      </c>
      <c r="B153" s="3" t="s">
        <v>39</v>
      </c>
      <c r="C153" s="3" t="s">
        <v>40</v>
      </c>
      <c r="D153" s="3" t="s">
        <v>41</v>
      </c>
      <c r="E153" s="3" t="s">
        <v>60</v>
      </c>
      <c r="F153" s="3" t="s">
        <v>858</v>
      </c>
      <c r="G153" s="4" t="s">
        <v>47</v>
      </c>
      <c r="H153" s="3" t="s">
        <v>859</v>
      </c>
      <c r="I153" s="3" t="s">
        <v>726</v>
      </c>
      <c r="J153" s="3" t="s">
        <v>860</v>
      </c>
      <c r="K153" s="5" t="s">
        <v>79</v>
      </c>
      <c r="L153" s="5" t="s">
        <v>67</v>
      </c>
      <c r="M153" s="5" t="s">
        <v>68</v>
      </c>
      <c r="N153" s="4" t="s">
        <v>47</v>
      </c>
      <c r="O153" s="6">
        <v>51300</v>
      </c>
      <c r="P153" s="6">
        <v>51500</v>
      </c>
      <c r="Q153" s="6">
        <v>200</v>
      </c>
      <c r="R153" s="7">
        <v>200</v>
      </c>
      <c r="S153" s="6">
        <f>IF(Q153-R153&lt;0,"0",Q153-R153)</f>
      </c>
      <c r="T153" s="6">
        <v>0</v>
      </c>
      <c r="U153" s="8">
        <v>46177.04166666667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  <c r="AO153" s="3" t="s">
        <v>80</v>
      </c>
      <c r="AP153" s="6">
        <f>Q153</f>
      </c>
    </row>
    <row r="154" ht="18" customHeight="1" spans="1:42" x14ac:dyDescent="0.2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653</v>
      </c>
      <c r="F154" s="3" t="s">
        <v>861</v>
      </c>
      <c r="G154" s="4" t="s">
        <v>47</v>
      </c>
      <c r="H154" s="3" t="s">
        <v>862</v>
      </c>
      <c r="I154" s="3" t="s">
        <v>863</v>
      </c>
      <c r="J154" s="3" t="s">
        <v>864</v>
      </c>
      <c r="K154" s="5" t="s">
        <v>97</v>
      </c>
      <c r="L154" s="5" t="s">
        <v>98</v>
      </c>
      <c r="M154" s="5" t="s">
        <v>68</v>
      </c>
      <c r="N154" s="4" t="s">
        <v>47</v>
      </c>
      <c r="O154" s="6">
        <v>34221</v>
      </c>
      <c r="P154" s="6">
        <v>34428</v>
      </c>
      <c r="Q154" s="6">
        <v>200</v>
      </c>
      <c r="R154" s="7">
        <v>200</v>
      </c>
      <c r="S154" s="6">
        <f>IF(Q154-R154&lt;0,"0",Q154-R154)</f>
      </c>
      <c r="T154" s="6">
        <v>0</v>
      </c>
      <c r="U154" s="8">
        <v>46177.430555555555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  <c r="AO154" s="3" t="s">
        <v>80</v>
      </c>
      <c r="AP154" s="6">
        <f>Q154</f>
      </c>
    </row>
    <row r="155" ht="18" customHeight="1" spans="1:42" x14ac:dyDescent="0.25">
      <c r="A155" s="3" t="s">
        <v>38</v>
      </c>
      <c r="B155" s="3" t="s">
        <v>39</v>
      </c>
      <c r="C155" s="3" t="s">
        <v>40</v>
      </c>
      <c r="D155" s="3" t="s">
        <v>41</v>
      </c>
      <c r="E155" s="3" t="s">
        <v>60</v>
      </c>
      <c r="F155" s="3" t="s">
        <v>865</v>
      </c>
      <c r="G155" s="4" t="s">
        <v>47</v>
      </c>
      <c r="H155" s="3" t="s">
        <v>866</v>
      </c>
      <c r="I155" s="3" t="s">
        <v>726</v>
      </c>
      <c r="J155" s="3" t="s">
        <v>867</v>
      </c>
      <c r="K155" s="5" t="s">
        <v>79</v>
      </c>
      <c r="L155" s="5" t="s">
        <v>67</v>
      </c>
      <c r="M155" s="5" t="s">
        <v>68</v>
      </c>
      <c r="N155" s="4" t="s">
        <v>47</v>
      </c>
      <c r="O155" s="6">
        <v>51710</v>
      </c>
      <c r="P155" s="6">
        <v>51912</v>
      </c>
      <c r="Q155" s="6">
        <v>200</v>
      </c>
      <c r="R155" s="7">
        <v>200</v>
      </c>
      <c r="S155" s="6">
        <f>IF(Q155-R155&lt;0,"0",Q155-R155)</f>
      </c>
      <c r="T155" s="6">
        <v>0</v>
      </c>
      <c r="U155" s="8">
        <v>46177.35763888889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  <c r="AO155" s="3" t="s">
        <v>80</v>
      </c>
      <c r="AP155" s="6">
        <f>Q155</f>
      </c>
    </row>
    <row r="156" ht="18" customHeight="1" spans="1:42" x14ac:dyDescent="0.25">
      <c r="A156" s="3" t="s">
        <v>38</v>
      </c>
      <c r="B156" s="3" t="s">
        <v>39</v>
      </c>
      <c r="C156" s="3" t="s">
        <v>40</v>
      </c>
      <c r="D156" s="3" t="s">
        <v>117</v>
      </c>
      <c r="E156" s="3" t="s">
        <v>60</v>
      </c>
      <c r="F156" s="3" t="s">
        <v>868</v>
      </c>
      <c r="G156" s="4" t="s">
        <v>47</v>
      </c>
      <c r="H156" s="3" t="s">
        <v>869</v>
      </c>
      <c r="I156" s="3" t="s">
        <v>870</v>
      </c>
      <c r="J156" s="3" t="s">
        <v>871</v>
      </c>
      <c r="K156" s="5" t="s">
        <v>79</v>
      </c>
      <c r="L156" s="5" t="s">
        <v>67</v>
      </c>
      <c r="M156" s="5" t="s">
        <v>68</v>
      </c>
      <c r="N156" s="4" t="s">
        <v>47</v>
      </c>
      <c r="O156" s="6">
        <v>0</v>
      </c>
      <c r="P156" s="6">
        <v>0</v>
      </c>
      <c r="Q156" s="6">
        <v>0</v>
      </c>
      <c r="R156" s="7">
        <v>200</v>
      </c>
      <c r="S156" s="6">
        <f>IF(Q156-R156&lt;0,"0",Q156-R156)</f>
      </c>
      <c r="T156" s="6">
        <v>0</v>
      </c>
      <c r="U156" s="8">
        <v>46177.58333333333</v>
      </c>
      <c r="V156" s="8">
        <v>46177.58333333333</v>
      </c>
      <c r="W156" s="9">
        <f>V156-U156</f>
      </c>
      <c r="X156" s="10">
        <v>0.25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690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  <c r="AO156" s="3" t="s">
        <v>80</v>
      </c>
      <c r="AP156" s="6">
        <f>Q156</f>
      </c>
    </row>
    <row r="157" ht="18" customHeight="1" spans="1:42" x14ac:dyDescent="0.25">
      <c r="A157" s="3" t="s">
        <v>38</v>
      </c>
      <c r="B157" s="3" t="s">
        <v>39</v>
      </c>
      <c r="C157" s="3" t="s">
        <v>40</v>
      </c>
      <c r="D157" s="3" t="s">
        <v>41</v>
      </c>
      <c r="E157" s="3" t="s">
        <v>653</v>
      </c>
      <c r="F157" s="3" t="s">
        <v>872</v>
      </c>
      <c r="G157" s="4" t="s">
        <v>47</v>
      </c>
      <c r="H157" s="3" t="s">
        <v>873</v>
      </c>
      <c r="I157" s="3" t="s">
        <v>863</v>
      </c>
      <c r="J157" s="3" t="s">
        <v>874</v>
      </c>
      <c r="K157" s="5" t="s">
        <v>97</v>
      </c>
      <c r="L157" s="5" t="s">
        <v>98</v>
      </c>
      <c r="M157" s="5" t="s">
        <v>68</v>
      </c>
      <c r="N157" s="4" t="s">
        <v>47</v>
      </c>
      <c r="O157" s="6">
        <v>34639</v>
      </c>
      <c r="P157" s="6">
        <v>34648</v>
      </c>
      <c r="Q157" s="6">
        <v>200</v>
      </c>
      <c r="R157" s="7">
        <v>200</v>
      </c>
      <c r="S157" s="6">
        <f>IF(Q157-R157&lt;0,"0",Q157-R157)</f>
      </c>
      <c r="T157" s="6">
        <v>0</v>
      </c>
      <c r="U157" s="8">
        <v>46178.29166666667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  <c r="AO157" s="3" t="s">
        <v>80</v>
      </c>
      <c r="AP157" s="6">
        <f>Q157</f>
      </c>
    </row>
    <row r="158" ht="18" customHeight="1" spans="1:42" x14ac:dyDescent="0.2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91</v>
      </c>
      <c r="F158" s="3" t="s">
        <v>875</v>
      </c>
      <c r="G158" s="4" t="s">
        <v>47</v>
      </c>
      <c r="H158" s="3" t="s">
        <v>876</v>
      </c>
      <c r="I158" s="3" t="s">
        <v>877</v>
      </c>
      <c r="J158" s="3" t="s">
        <v>878</v>
      </c>
      <c r="K158" s="5" t="s">
        <v>97</v>
      </c>
      <c r="L158" s="5" t="s">
        <v>98</v>
      </c>
      <c r="M158" s="5" t="s">
        <v>99</v>
      </c>
      <c r="N158" s="4" t="s">
        <v>47</v>
      </c>
      <c r="O158" s="6">
        <v>172700</v>
      </c>
      <c r="P158" s="6">
        <v>172701</v>
      </c>
      <c r="Q158" s="6">
        <v>300</v>
      </c>
      <c r="R158" s="7">
        <v>300</v>
      </c>
      <c r="S158" s="6">
        <f>IF(Q158-R158&lt;0,"0",Q158-R158)</f>
      </c>
      <c r="T158" s="6">
        <v>0</v>
      </c>
      <c r="U158" s="8">
        <v>46178.29166666667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  <c r="AO158" s="3" t="s">
        <v>100</v>
      </c>
      <c r="AP158" s="6">
        <f>Q158</f>
      </c>
    </row>
    <row r="159" ht="18" customHeight="1" spans="1:42" x14ac:dyDescent="0.25">
      <c r="A159" s="3" t="s">
        <v>38</v>
      </c>
      <c r="B159" s="3" t="s">
        <v>39</v>
      </c>
      <c r="C159" s="3" t="s">
        <v>40</v>
      </c>
      <c r="D159" s="3" t="s">
        <v>41</v>
      </c>
      <c r="E159" s="3" t="s">
        <v>91</v>
      </c>
      <c r="F159" s="3" t="s">
        <v>879</v>
      </c>
      <c r="G159" s="4" t="s">
        <v>47</v>
      </c>
      <c r="H159" s="3" t="s">
        <v>880</v>
      </c>
      <c r="I159" s="3" t="s">
        <v>881</v>
      </c>
      <c r="J159" s="4" t="s">
        <v>47</v>
      </c>
      <c r="K159" s="5" t="s">
        <v>97</v>
      </c>
      <c r="L159" s="5" t="s">
        <v>98</v>
      </c>
      <c r="M159" s="5" t="s">
        <v>99</v>
      </c>
      <c r="N159" s="4" t="s">
        <v>47</v>
      </c>
      <c r="O159" s="6">
        <v>268959</v>
      </c>
      <c r="P159" s="6">
        <v>268959</v>
      </c>
      <c r="Q159" s="6">
        <v>300</v>
      </c>
      <c r="R159" s="7">
        <v>300</v>
      </c>
      <c r="S159" s="6">
        <f>IF(Q159-R159&lt;0,"0",Q159-R159)</f>
      </c>
      <c r="T159" s="6">
        <v>0</v>
      </c>
      <c r="U159" s="8">
        <v>46178.29166666667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  <c r="AO159" s="3" t="s">
        <v>100</v>
      </c>
      <c r="AP159" s="6">
        <f>Q159</f>
      </c>
    </row>
    <row r="160" ht="18" customHeight="1" spans="1:42" x14ac:dyDescent="0.2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316</v>
      </c>
      <c r="F160" s="3" t="s">
        <v>882</v>
      </c>
      <c r="G160" s="4" t="s">
        <v>47</v>
      </c>
      <c r="H160" s="3" t="s">
        <v>883</v>
      </c>
      <c r="I160" s="3" t="s">
        <v>884</v>
      </c>
      <c r="J160" s="3" t="s">
        <v>885</v>
      </c>
      <c r="K160" s="5" t="s">
        <v>321</v>
      </c>
      <c r="L160" s="5" t="s">
        <v>67</v>
      </c>
      <c r="M160" s="5" t="s">
        <v>79</v>
      </c>
      <c r="N160" s="3" t="s">
        <v>67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46177.84027777778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  <c r="AO160" s="3" t="s">
        <v>820</v>
      </c>
      <c r="AP160" s="6">
        <f>Q160</f>
      </c>
    </row>
    <row r="161" ht="18" customHeight="1" spans="1:42" x14ac:dyDescent="0.25">
      <c r="A161" s="3" t="s">
        <v>38</v>
      </c>
      <c r="B161" s="3" t="s">
        <v>39</v>
      </c>
      <c r="C161" s="3" t="s">
        <v>40</v>
      </c>
      <c r="D161" s="3" t="s">
        <v>41</v>
      </c>
      <c r="E161" s="3" t="s">
        <v>60</v>
      </c>
      <c r="F161" s="3" t="s">
        <v>886</v>
      </c>
      <c r="G161" s="4" t="s">
        <v>47</v>
      </c>
      <c r="H161" s="3" t="s">
        <v>887</v>
      </c>
      <c r="I161" s="3" t="s">
        <v>726</v>
      </c>
      <c r="J161" s="3" t="s">
        <v>871</v>
      </c>
      <c r="K161" s="5" t="s">
        <v>79</v>
      </c>
      <c r="L161" s="5" t="s">
        <v>67</v>
      </c>
      <c r="M161" s="5" t="s">
        <v>68</v>
      </c>
      <c r="N161" s="4" t="s">
        <v>47</v>
      </c>
      <c r="O161" s="6">
        <v>52124</v>
      </c>
      <c r="P161" s="6">
        <v>52324</v>
      </c>
      <c r="Q161" s="6">
        <v>200</v>
      </c>
      <c r="R161" s="7">
        <v>200</v>
      </c>
      <c r="S161" s="6">
        <f>IF(Q161-R161&lt;0,"0",Q161-R161)</f>
      </c>
      <c r="T161" s="6">
        <v>0</v>
      </c>
      <c r="U161" s="8">
        <v>46178.08333333333</v>
      </c>
      <c r="V161" s="8">
        <v>46178.2177662037</v>
      </c>
      <c r="W161" s="9">
        <f>V161-U161</f>
      </c>
      <c r="X161" s="10">
        <v>0.25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  <c r="AO161" s="3" t="s">
        <v>80</v>
      </c>
      <c r="AP161" s="6">
        <f>Q161</f>
      </c>
    </row>
    <row r="162" ht="18" customHeight="1" spans="1:42" x14ac:dyDescent="0.2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60</v>
      </c>
      <c r="F162" s="3" t="s">
        <v>888</v>
      </c>
      <c r="G162" s="4" t="s">
        <v>47</v>
      </c>
      <c r="H162" s="3" t="s">
        <v>889</v>
      </c>
      <c r="I162" s="3" t="s">
        <v>890</v>
      </c>
      <c r="J162" s="3" t="s">
        <v>891</v>
      </c>
      <c r="K162" s="5" t="s">
        <v>66</v>
      </c>
      <c r="L162" s="5" t="s">
        <v>67</v>
      </c>
      <c r="M162" s="5" t="s">
        <v>68</v>
      </c>
      <c r="N162" s="4" t="s">
        <v>47</v>
      </c>
      <c r="O162" s="6">
        <v>28371</v>
      </c>
      <c r="P162" s="6">
        <v>28441</v>
      </c>
      <c r="Q162" s="6">
        <v>200</v>
      </c>
      <c r="R162" s="7">
        <v>200</v>
      </c>
      <c r="S162" s="6">
        <f>IF(Q162-R162&lt;0,"0",Q162-R162)</f>
      </c>
      <c r="T162" s="6">
        <v>0</v>
      </c>
      <c r="U162" s="8">
        <v>46178.4375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  <c r="AO162" s="3" t="s">
        <v>80</v>
      </c>
      <c r="AP162" s="6">
        <f>Q162</f>
      </c>
    </row>
    <row r="163" ht="18" customHeight="1" spans="1:42" x14ac:dyDescent="0.25">
      <c r="A163" s="3" t="s">
        <v>38</v>
      </c>
      <c r="B163" s="3" t="s">
        <v>39</v>
      </c>
      <c r="C163" s="3" t="s">
        <v>40</v>
      </c>
      <c r="D163" s="3" t="s">
        <v>41</v>
      </c>
      <c r="E163" s="3" t="s">
        <v>81</v>
      </c>
      <c r="F163" s="3" t="s">
        <v>892</v>
      </c>
      <c r="G163" s="4" t="s">
        <v>47</v>
      </c>
      <c r="H163" s="3" t="s">
        <v>893</v>
      </c>
      <c r="I163" s="3" t="s">
        <v>585</v>
      </c>
      <c r="J163" s="3" t="s">
        <v>894</v>
      </c>
      <c r="K163" s="5" t="s">
        <v>87</v>
      </c>
      <c r="L163" s="5" t="s">
        <v>88</v>
      </c>
      <c r="M163" s="5" t="s">
        <v>89</v>
      </c>
      <c r="N163" s="3" t="s">
        <v>88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  <c r="AO163" s="3" t="s">
        <v>895</v>
      </c>
      <c r="AP163" s="6">
        <f>Q163</f>
      </c>
    </row>
    <row r="164" ht="18" customHeight="1" spans="1:42" x14ac:dyDescent="0.2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81</v>
      </c>
      <c r="F164" s="3" t="s">
        <v>896</v>
      </c>
      <c r="G164" s="4" t="s">
        <v>47</v>
      </c>
      <c r="H164" s="3" t="s">
        <v>897</v>
      </c>
      <c r="I164" s="3" t="s">
        <v>85</v>
      </c>
      <c r="J164" s="3" t="s">
        <v>898</v>
      </c>
      <c r="K164" s="5" t="s">
        <v>899</v>
      </c>
      <c r="L164" s="5" t="s">
        <v>88</v>
      </c>
      <c r="M164" s="5" t="s">
        <v>900</v>
      </c>
      <c r="N164" s="3" t="s">
        <v>88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46181.41666666667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  <c r="AO164" s="3" t="s">
        <v>901</v>
      </c>
      <c r="AP164" s="6">
        <f>Q164</f>
      </c>
    </row>
    <row r="165" ht="18" customHeight="1" spans="1:42" x14ac:dyDescent="0.25">
      <c r="A165" s="3" t="s">
        <v>38</v>
      </c>
      <c r="B165" s="3" t="s">
        <v>39</v>
      </c>
      <c r="C165" s="3" t="s">
        <v>40</v>
      </c>
      <c r="D165" s="3" t="s">
        <v>41</v>
      </c>
      <c r="E165" s="3" t="s">
        <v>81</v>
      </c>
      <c r="F165" s="3" t="s">
        <v>902</v>
      </c>
      <c r="G165" s="4" t="s">
        <v>47</v>
      </c>
      <c r="H165" s="3" t="s">
        <v>903</v>
      </c>
      <c r="I165" s="3" t="s">
        <v>836</v>
      </c>
      <c r="J165" s="3" t="s">
        <v>898</v>
      </c>
      <c r="K165" s="5" t="s">
        <v>899</v>
      </c>
      <c r="L165" s="5" t="s">
        <v>88</v>
      </c>
      <c r="M165" s="5" t="s">
        <v>900</v>
      </c>
      <c r="N165" s="3" t="s">
        <v>88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46181.41666666667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  <c r="AO165" s="3" t="s">
        <v>901</v>
      </c>
      <c r="AP165" s="6">
        <f>Q165</f>
      </c>
    </row>
    <row r="166" ht="18" customHeight="1" spans="1:42" x14ac:dyDescent="0.2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123</v>
      </c>
      <c r="F166" s="3" t="s">
        <v>904</v>
      </c>
      <c r="G166" s="4" t="s">
        <v>47</v>
      </c>
      <c r="H166" s="3" t="s">
        <v>905</v>
      </c>
      <c r="I166" s="3" t="s">
        <v>906</v>
      </c>
      <c r="J166" s="3" t="s">
        <v>114</v>
      </c>
      <c r="K166" s="5" t="s">
        <v>907</v>
      </c>
      <c r="L166" s="5" t="s">
        <v>67</v>
      </c>
      <c r="M166" s="5" t="s">
        <v>179</v>
      </c>
      <c r="N166" s="4" t="s">
        <v>47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46181.60416666667</v>
      </c>
      <c r="V166" s="8">
        <v>46181.67391203703</v>
      </c>
      <c r="W166" s="9">
        <f>V166-U166</f>
      </c>
      <c r="X166" s="10">
        <v>0.25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  <c r="AO166" s="3" t="s">
        <v>69</v>
      </c>
      <c r="AP166" s="6">
        <f>Q166</f>
      </c>
    </row>
    <row r="167" ht="18" customHeight="1" spans="1:42" x14ac:dyDescent="0.25">
      <c r="A167" s="3" t="s">
        <v>38</v>
      </c>
      <c r="B167" s="3" t="s">
        <v>39</v>
      </c>
      <c r="C167" s="3" t="s">
        <v>40</v>
      </c>
      <c r="D167" s="3" t="s">
        <v>41</v>
      </c>
      <c r="E167" s="3" t="s">
        <v>150</v>
      </c>
      <c r="F167" s="3" t="s">
        <v>908</v>
      </c>
      <c r="G167" s="4" t="s">
        <v>47</v>
      </c>
      <c r="H167" s="3" t="s">
        <v>909</v>
      </c>
      <c r="I167" s="3" t="s">
        <v>137</v>
      </c>
      <c r="J167" s="3" t="s">
        <v>910</v>
      </c>
      <c r="K167" s="5" t="s">
        <v>468</v>
      </c>
      <c r="L167" s="5" t="s">
        <v>122</v>
      </c>
      <c r="M167" s="5" t="s">
        <v>68</v>
      </c>
      <c r="N167" s="4" t="s">
        <v>47</v>
      </c>
      <c r="O167" s="6">
        <v>108329</v>
      </c>
      <c r="P167" s="6">
        <v>108447</v>
      </c>
      <c r="Q167" s="6">
        <v>200</v>
      </c>
      <c r="R167" s="7">
        <v>200</v>
      </c>
      <c r="S167" s="6">
        <f>IF(Q167-R167&lt;0,"0",Q167-R167)</f>
      </c>
      <c r="T167" s="6">
        <v>0</v>
      </c>
      <c r="U167" s="8">
        <v>46178.99791666667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  <c r="AO167" s="3" t="s">
        <v>80</v>
      </c>
      <c r="AP167" s="6">
        <f>Q167</f>
      </c>
    </row>
    <row r="168" ht="18" customHeight="1" spans="1:42" x14ac:dyDescent="0.2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195</v>
      </c>
      <c r="F168" s="3" t="s">
        <v>911</v>
      </c>
      <c r="G168" s="4" t="s">
        <v>47</v>
      </c>
      <c r="H168" s="3" t="s">
        <v>912</v>
      </c>
      <c r="I168" s="3" t="s">
        <v>428</v>
      </c>
      <c r="J168" s="3" t="s">
        <v>913</v>
      </c>
      <c r="K168" s="5" t="s">
        <v>169</v>
      </c>
      <c r="L168" s="5" t="s">
        <v>67</v>
      </c>
      <c r="M168" s="5" t="s">
        <v>328</v>
      </c>
      <c r="N168" s="4" t="s">
        <v>47</v>
      </c>
      <c r="O168" s="6">
        <v>18255</v>
      </c>
      <c r="P168" s="6">
        <v>19058</v>
      </c>
      <c r="Q168" s="6">
        <f>P168-O168</f>
      </c>
      <c r="R168" s="7">
        <v>758</v>
      </c>
      <c r="S168" s="6">
        <f>IF(Q168-R168&lt;0,"0",Q168-R168)</f>
      </c>
      <c r="T168" s="6">
        <v>0</v>
      </c>
      <c r="U168" s="8">
        <v>46179.25</v>
      </c>
      <c r="V168" s="8">
        <v>46181.173680555556</v>
      </c>
      <c r="W168" s="9">
        <f>V168-U168</f>
      </c>
      <c r="X168" s="10">
        <v>1.4166666666666667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7412.45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  <c r="AO168" s="3" t="s">
        <v>202</v>
      </c>
      <c r="AP168" s="6">
        <f>Q168</f>
      </c>
    </row>
    <row r="169" ht="18" customHeight="1" spans="1:42" x14ac:dyDescent="0.25">
      <c r="A169" s="3" t="s">
        <v>38</v>
      </c>
      <c r="B169" s="3" t="s">
        <v>39</v>
      </c>
      <c r="C169" s="3" t="s">
        <v>40</v>
      </c>
      <c r="D169" s="3" t="s">
        <v>41</v>
      </c>
      <c r="E169" s="3" t="s">
        <v>123</v>
      </c>
      <c r="F169" s="3" t="s">
        <v>914</v>
      </c>
      <c r="G169" s="4" t="s">
        <v>47</v>
      </c>
      <c r="H169" s="3" t="s">
        <v>915</v>
      </c>
      <c r="I169" s="3" t="s">
        <v>701</v>
      </c>
      <c r="J169" s="3" t="s">
        <v>750</v>
      </c>
      <c r="K169" s="5" t="s">
        <v>665</v>
      </c>
      <c r="L169" s="5" t="s">
        <v>67</v>
      </c>
      <c r="M169" s="5" t="s">
        <v>916</v>
      </c>
      <c r="N169" s="3" t="s">
        <v>67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46181.02083333333</v>
      </c>
      <c r="V169" s="8">
        <v>46181.07798611111</v>
      </c>
      <c r="W169" s="9">
        <f>V169-U169</f>
      </c>
      <c r="X169" s="10">
        <v>0.25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  <c r="AO169" s="3" t="s">
        <v>69</v>
      </c>
      <c r="AP169" s="6">
        <f>Q169</f>
      </c>
    </row>
    <row r="170" ht="18" customHeight="1" spans="1:42" x14ac:dyDescent="0.2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275</v>
      </c>
      <c r="F170" s="3" t="s">
        <v>917</v>
      </c>
      <c r="G170" s="4" t="s">
        <v>47</v>
      </c>
      <c r="H170" s="3" t="s">
        <v>918</v>
      </c>
      <c r="I170" s="3" t="s">
        <v>919</v>
      </c>
      <c r="J170" s="3" t="s">
        <v>920</v>
      </c>
      <c r="K170" s="5" t="s">
        <v>921</v>
      </c>
      <c r="L170" s="5" t="s">
        <v>98</v>
      </c>
      <c r="M170" s="5" t="s">
        <v>630</v>
      </c>
      <c r="N170" s="3" t="s">
        <v>98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46181.33333333333</v>
      </c>
      <c r="V170" s="8">
        <v>46181.45626157407</v>
      </c>
      <c r="W170" s="9">
        <f>V170-U170</f>
      </c>
      <c r="X170" s="10">
        <v>0.25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  <c r="AO170" s="3" t="s">
        <v>69</v>
      </c>
      <c r="AP170" s="6">
        <f>Q170</f>
      </c>
    </row>
    <row r="171" ht="18" customHeight="1" spans="1:42" x14ac:dyDescent="0.25">
      <c r="A171" s="3" t="s">
        <v>38</v>
      </c>
      <c r="B171" s="3" t="s">
        <v>39</v>
      </c>
      <c r="C171" s="3" t="s">
        <v>40</v>
      </c>
      <c r="D171" s="3" t="s">
        <v>41</v>
      </c>
      <c r="E171" s="3" t="s">
        <v>275</v>
      </c>
      <c r="F171" s="3" t="s">
        <v>922</v>
      </c>
      <c r="G171" s="4" t="s">
        <v>47</v>
      </c>
      <c r="H171" s="3" t="s">
        <v>923</v>
      </c>
      <c r="I171" s="3" t="s">
        <v>919</v>
      </c>
      <c r="J171" s="3" t="s">
        <v>658</v>
      </c>
      <c r="K171" s="5" t="s">
        <v>629</v>
      </c>
      <c r="L171" s="5" t="s">
        <v>98</v>
      </c>
      <c r="M171" s="5" t="s">
        <v>630</v>
      </c>
      <c r="N171" s="3" t="s">
        <v>98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46182.33333333333</v>
      </c>
      <c r="V171" s="8">
        <v>46182.38039351851</v>
      </c>
      <c r="W171" s="9">
        <f>V171-U171</f>
      </c>
      <c r="X171" s="10">
        <v>0.25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  <c r="AO171" s="3" t="s">
        <v>69</v>
      </c>
      <c r="AP171" s="6">
        <f>Q171</f>
      </c>
    </row>
    <row r="172" ht="18" customHeight="1" spans="1:42" x14ac:dyDescent="0.2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123</v>
      </c>
      <c r="F172" s="3" t="s">
        <v>924</v>
      </c>
      <c r="G172" s="4" t="s">
        <v>47</v>
      </c>
      <c r="H172" s="3" t="s">
        <v>925</v>
      </c>
      <c r="I172" s="3" t="s">
        <v>677</v>
      </c>
      <c r="J172" s="3" t="s">
        <v>926</v>
      </c>
      <c r="K172" s="5" t="s">
        <v>274</v>
      </c>
      <c r="L172" s="5" t="s">
        <v>67</v>
      </c>
      <c r="M172" s="5" t="s">
        <v>554</v>
      </c>
      <c r="N172" s="3" t="s">
        <v>67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46181.51041666667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  <c r="AO172" s="3" t="s">
        <v>927</v>
      </c>
      <c r="AP172" s="6">
        <f>Q172</f>
      </c>
    </row>
    <row r="173" ht="18" customHeight="1" spans="1:42" x14ac:dyDescent="0.25">
      <c r="A173" s="3" t="s">
        <v>38</v>
      </c>
      <c r="B173" s="3" t="s">
        <v>39</v>
      </c>
      <c r="C173" s="3" t="s">
        <v>40</v>
      </c>
      <c r="D173" s="3" t="s">
        <v>41</v>
      </c>
      <c r="E173" s="3" t="s">
        <v>928</v>
      </c>
      <c r="F173" s="3" t="s">
        <v>929</v>
      </c>
      <c r="G173" s="4" t="s">
        <v>47</v>
      </c>
      <c r="H173" s="3" t="s">
        <v>930</v>
      </c>
      <c r="I173" s="3" t="s">
        <v>442</v>
      </c>
      <c r="J173" s="3" t="s">
        <v>931</v>
      </c>
      <c r="K173" s="5" t="s">
        <v>932</v>
      </c>
      <c r="L173" s="5" t="s">
        <v>67</v>
      </c>
      <c r="M173" s="5" t="s">
        <v>169</v>
      </c>
      <c r="N173" s="3" t="s">
        <v>67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46181.51041666667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  <c r="AO173" s="3" t="s">
        <v>933</v>
      </c>
      <c r="AP173" s="6">
        <f>Q173</f>
      </c>
    </row>
    <row r="174" ht="18" customHeight="1" spans="1:42" x14ac:dyDescent="0.2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150</v>
      </c>
      <c r="F174" s="3" t="s">
        <v>934</v>
      </c>
      <c r="G174" s="4" t="s">
        <v>47</v>
      </c>
      <c r="H174" s="3" t="s">
        <v>935</v>
      </c>
      <c r="I174" s="3" t="s">
        <v>265</v>
      </c>
      <c r="J174" s="3" t="s">
        <v>936</v>
      </c>
      <c r="K174" s="5" t="s">
        <v>937</v>
      </c>
      <c r="L174" s="5" t="s">
        <v>122</v>
      </c>
      <c r="M174" s="5" t="s">
        <v>68</v>
      </c>
      <c r="N174" s="4" t="s">
        <v>47</v>
      </c>
      <c r="O174" s="6">
        <v>26995</v>
      </c>
      <c r="P174" s="6">
        <v>27099</v>
      </c>
      <c r="Q174" s="6">
        <v>200</v>
      </c>
      <c r="R174" s="7">
        <v>137</v>
      </c>
      <c r="S174" s="6">
        <f>IF(Q174-R174&lt;0,"0",Q174-R174)</f>
      </c>
      <c r="T174" s="6">
        <v>0</v>
      </c>
      <c r="U174" s="8">
        <v>46181.52847222222</v>
      </c>
      <c r="V174" s="8">
        <v>46181.760717592595</v>
      </c>
      <c r="W174" s="9">
        <f>V174-U174</f>
      </c>
      <c r="X174" s="10">
        <v>0.20833333333333334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945.3</v>
      </c>
      <c r="AF174" s="12">
        <v>25</v>
      </c>
      <c r="AG174" s="12">
        <f>SUM(AB174:AF174)</f>
      </c>
      <c r="AH174" s="3"/>
      <c r="AI174" s="3"/>
      <c r="AJ174" s="3"/>
      <c r="AK174" s="3"/>
      <c r="AL174" s="3"/>
      <c r="AO174" s="3" t="s">
        <v>938</v>
      </c>
      <c r="AP174" s="6">
        <f>Q174</f>
      </c>
    </row>
    <row r="175" ht="18" customHeight="1" spans="1:42" x14ac:dyDescent="0.25">
      <c r="A175" s="3" t="s">
        <v>38</v>
      </c>
      <c r="B175" s="3" t="s">
        <v>39</v>
      </c>
      <c r="C175" s="3" t="s">
        <v>40</v>
      </c>
      <c r="D175" s="3" t="s">
        <v>41</v>
      </c>
      <c r="E175" s="3" t="s">
        <v>123</v>
      </c>
      <c r="F175" s="3" t="s">
        <v>939</v>
      </c>
      <c r="G175" s="4" t="s">
        <v>47</v>
      </c>
      <c r="H175" s="3" t="s">
        <v>940</v>
      </c>
      <c r="I175" s="3" t="s">
        <v>183</v>
      </c>
      <c r="J175" s="3" t="s">
        <v>941</v>
      </c>
      <c r="K175" s="5" t="s">
        <v>907</v>
      </c>
      <c r="L175" s="5" t="s">
        <v>67</v>
      </c>
      <c r="M175" s="5" t="s">
        <v>179</v>
      </c>
      <c r="N175" s="4" t="s">
        <v>47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46181.64583333333</v>
      </c>
      <c r="V175" s="8">
        <v>46181.7137037037</v>
      </c>
      <c r="W175" s="9">
        <f>V175-U175</f>
      </c>
      <c r="X175" s="10">
        <v>0.25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13.6</v>
      </c>
      <c r="AG175" s="12">
        <f>SUM(AB175:AF175)</f>
      </c>
      <c r="AH175" s="3"/>
      <c r="AI175" s="3"/>
      <c r="AJ175" s="3"/>
      <c r="AK175" s="3"/>
      <c r="AL175" s="3"/>
      <c r="AO175" s="3" t="s">
        <v>69</v>
      </c>
      <c r="AP175" s="6">
        <f>Q175</f>
      </c>
    </row>
    <row r="176" ht="18" customHeight="1" spans="1:42" x14ac:dyDescent="0.25">
      <c r="A176" s="3" t="s">
        <v>38</v>
      </c>
      <c r="B176" s="3" t="s">
        <v>39</v>
      </c>
      <c r="C176" s="3" t="s">
        <v>40</v>
      </c>
      <c r="D176" s="3" t="s">
        <v>41</v>
      </c>
      <c r="E176" s="3" t="s">
        <v>123</v>
      </c>
      <c r="F176" s="3" t="s">
        <v>942</v>
      </c>
      <c r="G176" s="4" t="s">
        <v>47</v>
      </c>
      <c r="H176" s="3" t="s">
        <v>943</v>
      </c>
      <c r="I176" s="3" t="s">
        <v>255</v>
      </c>
      <c r="J176" s="3" t="s">
        <v>944</v>
      </c>
      <c r="K176" s="5" t="s">
        <v>907</v>
      </c>
      <c r="L176" s="5" t="s">
        <v>67</v>
      </c>
      <c r="M176" s="5" t="s">
        <v>179</v>
      </c>
      <c r="N176" s="4" t="s">
        <v>47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46181.64583333333</v>
      </c>
      <c r="V176" s="8">
        <v>46181.8653587963</v>
      </c>
      <c r="W176" s="9">
        <f>V176-U176</f>
      </c>
      <c r="X176" s="10">
        <v>0.25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25</v>
      </c>
      <c r="AG176" s="12">
        <f>SUM(AB176:AF176)</f>
      </c>
      <c r="AH176" s="3"/>
      <c r="AI176" s="3"/>
      <c r="AJ176" s="3"/>
      <c r="AK176" s="3"/>
      <c r="AL176" s="3"/>
      <c r="AO176" s="3" t="s">
        <v>69</v>
      </c>
      <c r="AP176" s="6">
        <f>Q176</f>
      </c>
    </row>
    <row r="177" ht="18" customHeight="1" spans="1:42" x14ac:dyDescent="0.25">
      <c r="A177" s="3" t="s">
        <v>38</v>
      </c>
      <c r="B177" s="3" t="s">
        <v>39</v>
      </c>
      <c r="C177" s="3" t="s">
        <v>40</v>
      </c>
      <c r="D177" s="3" t="s">
        <v>117</v>
      </c>
      <c r="E177" s="3" t="s">
        <v>928</v>
      </c>
      <c r="F177" s="3" t="s">
        <v>945</v>
      </c>
      <c r="G177" s="4" t="s">
        <v>47</v>
      </c>
      <c r="H177" s="3" t="s">
        <v>946</v>
      </c>
      <c r="I177" s="3" t="s">
        <v>442</v>
      </c>
      <c r="J177" s="4" t="s">
        <v>47</v>
      </c>
      <c r="K177" s="5" t="s">
        <v>274</v>
      </c>
      <c r="L177" s="5" t="s">
        <v>67</v>
      </c>
      <c r="M177" s="5" t="s">
        <v>755</v>
      </c>
      <c r="N177" s="3" t="s">
        <v>67</v>
      </c>
      <c r="O177" s="6">
        <v>0</v>
      </c>
      <c r="P177" s="6">
        <v>0</v>
      </c>
      <c r="Q177" s="6">
        <v>0</v>
      </c>
      <c r="R177" s="7">
        <v>34</v>
      </c>
      <c r="S177" s="6">
        <f>IF(Q177-R177&lt;0,"0",Q177-R177)</f>
      </c>
      <c r="T177" s="6">
        <v>0</v>
      </c>
      <c r="U177" s="8">
        <v>46181.694444444445</v>
      </c>
      <c r="V177" s="8">
        <v>46181.694444444445</v>
      </c>
      <c r="W177" s="9">
        <f>V177-U177</f>
      </c>
      <c r="X177" s="10">
        <v>0.125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  <c r="AO177" s="3" t="s">
        <v>315</v>
      </c>
      <c r="AP177" s="6">
        <f>Q177</f>
      </c>
    </row>
    <row r="178" ht="18" customHeight="1" spans="1:42" x14ac:dyDescent="0.25">
      <c r="A178" s="14" t="s">
        <v>38</v>
      </c>
      <c r="B178" s="14" t="s">
        <v>39</v>
      </c>
      <c r="C178" s="14" t="s">
        <v>40</v>
      </c>
      <c r="D178" s="14" t="s">
        <v>947</v>
      </c>
      <c r="E178" s="14" t="s">
        <v>123</v>
      </c>
      <c r="F178" s="14" t="s">
        <v>948</v>
      </c>
      <c r="G178" s="14" t="s">
        <v>47</v>
      </c>
      <c r="H178" s="14" t="s">
        <v>949</v>
      </c>
      <c r="I178" s="14" t="s">
        <v>609</v>
      </c>
      <c r="J178" s="14" t="s">
        <v>950</v>
      </c>
      <c r="K178" s="15" t="s">
        <v>169</v>
      </c>
      <c r="L178" s="15" t="s">
        <v>67</v>
      </c>
      <c r="M178" s="15" t="s">
        <v>951</v>
      </c>
      <c r="N178" s="14" t="s">
        <v>67</v>
      </c>
      <c r="O178" s="7">
        <v>45172</v>
      </c>
      <c r="P178" s="7">
        <v>45259</v>
      </c>
      <c r="Q178" s="7">
        <f>P178-O178</f>
      </c>
      <c r="R178" s="7">
        <v>0</v>
      </c>
      <c r="S178" s="7">
        <f>IF(Q178-R178&lt;0,"0",Q178-R178)</f>
      </c>
      <c r="T178" s="7">
        <v>0</v>
      </c>
      <c r="U178" s="16">
        <v>46182.25</v>
      </c>
      <c r="V178" s="16">
        <v>46182.51435185185</v>
      </c>
      <c r="W178" s="10">
        <f>V178-U178</f>
      </c>
      <c r="X178" s="10">
        <v>0</v>
      </c>
      <c r="Y178" s="10">
        <f>IF(W178-X178&lt;0,"00:00:00",W178-X178)</f>
      </c>
      <c r="Z178" s="11">
        <v>0</v>
      </c>
      <c r="AA178" s="11">
        <v>0</v>
      </c>
      <c r="AB178" s="11">
        <f>Y178*Z178*24</f>
      </c>
      <c r="AC178" s="11">
        <f>S178*AA178</f>
      </c>
      <c r="AD178" s="11">
        <f>T178*AA178</f>
      </c>
      <c r="AE178" s="11">
        <v>0</v>
      </c>
      <c r="AF178" s="11">
        <v>0</v>
      </c>
      <c r="AG178" s="11">
        <f>SUM(AB178:AF178)</f>
      </c>
      <c r="AH178" s="14"/>
      <c r="AI178" s="14"/>
      <c r="AJ178" s="14"/>
      <c r="AK178" s="14"/>
      <c r="AL178" s="14"/>
      <c r="AM178" s="17"/>
      <c r="AN178" s="17"/>
      <c r="AO178" s="14" t="s">
        <v>47</v>
      </c>
      <c r="AP178" s="7">
        <f>Q178</f>
      </c>
    </row>
    <row r="179" ht="18" customHeight="1" spans="1:42" x14ac:dyDescent="0.25">
      <c r="A179" s="14" t="s">
        <v>38</v>
      </c>
      <c r="B179" s="14" t="s">
        <v>39</v>
      </c>
      <c r="C179" s="14" t="s">
        <v>40</v>
      </c>
      <c r="D179" s="14" t="s">
        <v>41</v>
      </c>
      <c r="E179" s="14" t="s">
        <v>283</v>
      </c>
      <c r="F179" s="14" t="s">
        <v>952</v>
      </c>
      <c r="G179" s="14" t="s">
        <v>47</v>
      </c>
      <c r="H179" s="14" t="s">
        <v>953</v>
      </c>
      <c r="I179" s="14" t="s">
        <v>954</v>
      </c>
      <c r="J179" s="14" t="s">
        <v>955</v>
      </c>
      <c r="K179" s="15" t="s">
        <v>553</v>
      </c>
      <c r="L179" s="15" t="s">
        <v>67</v>
      </c>
      <c r="M179" s="15" t="s">
        <v>916</v>
      </c>
      <c r="N179" s="14" t="s">
        <v>67</v>
      </c>
      <c r="O179" s="7">
        <v>267</v>
      </c>
      <c r="P179" s="7">
        <v>345</v>
      </c>
      <c r="Q179" s="7">
        <f>P179-O179</f>
      </c>
      <c r="R179" s="7">
        <v>0</v>
      </c>
      <c r="S179" s="7">
        <f>IF(Q179-R179&lt;0,"0",Q179-R179)</f>
      </c>
      <c r="T179" s="7">
        <v>0</v>
      </c>
      <c r="U179" s="16">
        <v>46181.83333333333</v>
      </c>
      <c r="V179" s="16">
        <v>46181.93719907408</v>
      </c>
      <c r="W179" s="10">
        <f>V179-U179</f>
      </c>
      <c r="X179" s="10">
        <v>0</v>
      </c>
      <c r="Y179" s="10">
        <f>IF(W179-X179&lt;0,"00:00:00",W179-X179)</f>
      </c>
      <c r="Z179" s="11">
        <v>0</v>
      </c>
      <c r="AA179" s="11">
        <v>0</v>
      </c>
      <c r="AB179" s="11">
        <f>Y179*Z179*24</f>
      </c>
      <c r="AC179" s="11">
        <f>S179*AA179</f>
      </c>
      <c r="AD179" s="11">
        <f>T179*AA179</f>
      </c>
      <c r="AE179" s="11">
        <v>0</v>
      </c>
      <c r="AF179" s="11">
        <v>28.6</v>
      </c>
      <c r="AG179" s="11">
        <f>SUM(AB179:AF179)</f>
      </c>
      <c r="AH179" s="14"/>
      <c r="AI179" s="14"/>
      <c r="AJ179" s="14"/>
      <c r="AK179" s="14"/>
      <c r="AL179" s="14"/>
      <c r="AM179" s="17"/>
      <c r="AN179" s="17"/>
      <c r="AO179" s="14" t="s">
        <v>47</v>
      </c>
      <c r="AP179" s="7">
        <f>Q179</f>
      </c>
    </row>
    <row r="180" ht="18" customHeight="1" spans="1:42" x14ac:dyDescent="0.25">
      <c r="A180" s="14" t="s">
        <v>38</v>
      </c>
      <c r="B180" s="14" t="s">
        <v>39</v>
      </c>
      <c r="C180" s="14" t="s">
        <v>40</v>
      </c>
      <c r="D180" s="14" t="s">
        <v>956</v>
      </c>
      <c r="E180" s="14" t="s">
        <v>957</v>
      </c>
      <c r="F180" s="14" t="s">
        <v>958</v>
      </c>
      <c r="G180" s="14" t="s">
        <v>47</v>
      </c>
      <c r="H180" s="14" t="s">
        <v>959</v>
      </c>
      <c r="I180" s="14" t="s">
        <v>85</v>
      </c>
      <c r="J180" s="14" t="s">
        <v>960</v>
      </c>
      <c r="K180" s="15" t="s">
        <v>899</v>
      </c>
      <c r="L180" s="15" t="s">
        <v>88</v>
      </c>
      <c r="M180" s="15" t="s">
        <v>900</v>
      </c>
      <c r="N180" s="14" t="s">
        <v>88</v>
      </c>
      <c r="O180" s="7">
        <v>167132</v>
      </c>
      <c r="P180" s="7">
        <v>167210</v>
      </c>
      <c r="Q180" s="7">
        <f>P180-O180</f>
      </c>
      <c r="R180" s="7">
        <v>0</v>
      </c>
      <c r="S180" s="7">
        <f>IF(Q180-R180&lt;0,"0",Q180-R180)</f>
      </c>
      <c r="T180" s="7">
        <v>0</v>
      </c>
      <c r="U180" s="16">
        <v>46182.39583333333</v>
      </c>
      <c r="V180" s="16">
        <v>46182.59609953704</v>
      </c>
      <c r="W180" s="10">
        <f>V180-U180</f>
      </c>
      <c r="X180" s="10">
        <v>0</v>
      </c>
      <c r="Y180" s="10">
        <f>IF(W180-X180&lt;0,"00:00:00",W180-X180)</f>
      </c>
      <c r="Z180" s="11">
        <v>0</v>
      </c>
      <c r="AA180" s="11">
        <v>0</v>
      </c>
      <c r="AB180" s="11">
        <f>Y180*Z180*24</f>
      </c>
      <c r="AC180" s="11">
        <f>S180*AA180</f>
      </c>
      <c r="AD180" s="11">
        <f>T180*AA180</f>
      </c>
      <c r="AE180" s="11">
        <v>0</v>
      </c>
      <c r="AF180" s="11">
        <v>0</v>
      </c>
      <c r="AG180" s="11">
        <f>SUM(AB180:AF180)</f>
      </c>
      <c r="AH180" s="14"/>
      <c r="AI180" s="14"/>
      <c r="AJ180" s="14"/>
      <c r="AK180" s="14"/>
      <c r="AL180" s="14"/>
      <c r="AM180" s="17"/>
      <c r="AN180" s="17"/>
      <c r="AO180" s="14" t="s">
        <v>47</v>
      </c>
      <c r="AP180" s="7">
        <f>Q180</f>
      </c>
    </row>
    <row r="181" ht="18" customHeight="1" spans="1:42" x14ac:dyDescent="0.25">
      <c r="A181" s="3" t="s">
        <v>38</v>
      </c>
      <c r="B181" s="3" t="s">
        <v>39</v>
      </c>
      <c r="C181" s="3" t="s">
        <v>40</v>
      </c>
      <c r="D181" s="3" t="s">
        <v>947</v>
      </c>
      <c r="E181" s="3" t="s">
        <v>218</v>
      </c>
      <c r="F181" s="3" t="s">
        <v>961</v>
      </c>
      <c r="G181" s="4" t="s">
        <v>47</v>
      </c>
      <c r="H181" s="3" t="s">
        <v>962</v>
      </c>
      <c r="I181" s="3" t="s">
        <v>311</v>
      </c>
      <c r="J181" s="3" t="s">
        <v>963</v>
      </c>
      <c r="K181" s="5" t="s">
        <v>169</v>
      </c>
      <c r="L181" s="5" t="s">
        <v>67</v>
      </c>
      <c r="M181" s="5" t="s">
        <v>223</v>
      </c>
      <c r="N181" s="4" t="s">
        <v>47</v>
      </c>
      <c r="O181" s="6">
        <v>127063</v>
      </c>
      <c r="P181" s="6">
        <v>127110</v>
      </c>
      <c r="Q181" s="6">
        <v>400</v>
      </c>
      <c r="R181" s="7">
        <v>400</v>
      </c>
      <c r="S181" s="6">
        <f>IF(Q181-R181&lt;0,"0",Q181-R181)</f>
      </c>
      <c r="T181" s="6">
        <v>0</v>
      </c>
      <c r="U181" s="8">
        <v>46182.36111111111</v>
      </c>
      <c r="V181" s="8">
        <v>46182.50113425926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  <c r="AO181" s="3" t="s">
        <v>224</v>
      </c>
      <c r="AP181" s="6">
        <f>Q181</f>
      </c>
    </row>
    <row r="182" ht="18" customHeight="1" spans="1:42" x14ac:dyDescent="0.25">
      <c r="A182" s="3" t="s">
        <v>38</v>
      </c>
      <c r="B182" s="3" t="s">
        <v>39</v>
      </c>
      <c r="C182" s="3" t="s">
        <v>40</v>
      </c>
      <c r="D182" s="3" t="s">
        <v>947</v>
      </c>
      <c r="E182" s="3" t="s">
        <v>389</v>
      </c>
      <c r="F182" s="3" t="s">
        <v>964</v>
      </c>
      <c r="G182" s="4" t="s">
        <v>47</v>
      </c>
      <c r="H182" s="3" t="s">
        <v>965</v>
      </c>
      <c r="I182" s="3" t="s">
        <v>966</v>
      </c>
      <c r="J182" s="3" t="s">
        <v>967</v>
      </c>
      <c r="K182" s="5" t="s">
        <v>394</v>
      </c>
      <c r="L182" s="5" t="s">
        <v>88</v>
      </c>
      <c r="M182" s="5" t="s">
        <v>68</v>
      </c>
      <c r="N182" s="4" t="s">
        <v>47</v>
      </c>
      <c r="O182" s="6">
        <v>168120</v>
      </c>
      <c r="P182" s="6">
        <v>168321</v>
      </c>
      <c r="Q182" s="6">
        <v>200</v>
      </c>
      <c r="R182" s="7">
        <v>200</v>
      </c>
      <c r="S182" s="6">
        <f>IF(Q182-R182&lt;0,"0",Q182-R182)</f>
      </c>
      <c r="T182" s="6">
        <v>0</v>
      </c>
      <c r="U182" s="8">
        <v>46181.993055555555</v>
      </c>
      <c r="V182" s="8">
        <v>46182.508564814816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  <c r="AO182" s="3" t="s">
        <v>395</v>
      </c>
      <c r="AP182" s="6">
        <f>Q182</f>
      </c>
    </row>
    <row r="183" ht="18" customHeight="1" spans="1:42" x14ac:dyDescent="0.25">
      <c r="A183" s="3" t="s">
        <v>38</v>
      </c>
      <c r="B183" s="3" t="s">
        <v>39</v>
      </c>
      <c r="C183" s="3" t="s">
        <v>40</v>
      </c>
      <c r="D183" s="3" t="s">
        <v>41</v>
      </c>
      <c r="E183" s="3" t="s">
        <v>389</v>
      </c>
      <c r="F183" s="3" t="s">
        <v>968</v>
      </c>
      <c r="G183" s="4" t="s">
        <v>47</v>
      </c>
      <c r="H183" s="3" t="s">
        <v>969</v>
      </c>
      <c r="I183" s="3" t="s">
        <v>85</v>
      </c>
      <c r="J183" s="3" t="s">
        <v>462</v>
      </c>
      <c r="K183" s="5" t="s">
        <v>87</v>
      </c>
      <c r="L183" s="5" t="s">
        <v>88</v>
      </c>
      <c r="M183" s="5" t="s">
        <v>68</v>
      </c>
      <c r="N183" s="4" t="s">
        <v>47</v>
      </c>
      <c r="O183" s="6">
        <v>166673</v>
      </c>
      <c r="P183" s="6">
        <v>166873</v>
      </c>
      <c r="Q183" s="6">
        <v>200</v>
      </c>
      <c r="R183" s="7">
        <v>200</v>
      </c>
      <c r="S183" s="6">
        <f>IF(Q183-R183&lt;0,"0",Q183-R183)</f>
      </c>
      <c r="T183" s="6">
        <v>0</v>
      </c>
      <c r="U183" s="8">
        <v>46182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  <c r="AO183" s="3" t="s">
        <v>970</v>
      </c>
      <c r="AP183" s="6">
        <f>Q183</f>
      </c>
    </row>
    <row r="184" ht="18" customHeight="1" spans="1:42" x14ac:dyDescent="0.25">
      <c r="A184" s="14" t="s">
        <v>38</v>
      </c>
      <c r="B184" s="14" t="s">
        <v>39</v>
      </c>
      <c r="C184" s="14" t="s">
        <v>40</v>
      </c>
      <c r="D184" s="14" t="s">
        <v>947</v>
      </c>
      <c r="E184" s="14" t="s">
        <v>971</v>
      </c>
      <c r="F184" s="14" t="s">
        <v>972</v>
      </c>
      <c r="G184" s="14" t="s">
        <v>47</v>
      </c>
      <c r="H184" s="14" t="s">
        <v>973</v>
      </c>
      <c r="I184" s="14" t="s">
        <v>442</v>
      </c>
      <c r="J184" s="14" t="s">
        <v>789</v>
      </c>
      <c r="K184" s="15" t="s">
        <v>169</v>
      </c>
      <c r="L184" s="15" t="s">
        <v>67</v>
      </c>
      <c r="M184" s="15" t="s">
        <v>974</v>
      </c>
      <c r="N184" s="14" t="s">
        <v>975</v>
      </c>
      <c r="O184" s="7">
        <v>10438</v>
      </c>
      <c r="P184" s="7">
        <v>0</v>
      </c>
      <c r="Q184" s="7">
        <f>P184-O184</f>
      </c>
      <c r="R184" s="7">
        <v>0</v>
      </c>
      <c r="S184" s="7">
        <f>IF(Q184-R184&lt;0,"0",Q184-R184)</f>
      </c>
      <c r="T184" s="7">
        <v>0</v>
      </c>
      <c r="U184" s="16">
        <v>46182.16666666667</v>
      </c>
      <c r="V184" s="16">
        <v>46182.645254629635</v>
      </c>
      <c r="W184" s="10">
        <f>V184-U184</f>
      </c>
      <c r="X184" s="10">
        <v>0</v>
      </c>
      <c r="Y184" s="10">
        <f>IF(W184-X184&lt;0,"00:00:00",W184-X184)</f>
      </c>
      <c r="Z184" s="11">
        <v>0</v>
      </c>
      <c r="AA184" s="11">
        <v>0</v>
      </c>
      <c r="AB184" s="11">
        <f>Y184*Z184*24</f>
      </c>
      <c r="AC184" s="11">
        <f>S184*AA184</f>
      </c>
      <c r="AD184" s="11">
        <f>T184*AA184</f>
      </c>
      <c r="AE184" s="11">
        <v>0</v>
      </c>
      <c r="AF184" s="11">
        <v>0</v>
      </c>
      <c r="AG184" s="11">
        <f>SUM(AB184:AF184)</f>
      </c>
      <c r="AH184" s="14"/>
      <c r="AI184" s="14"/>
      <c r="AJ184" s="14"/>
      <c r="AK184" s="14"/>
      <c r="AL184" s="14"/>
      <c r="AM184" s="17"/>
      <c r="AN184" s="17"/>
      <c r="AO184" s="14" t="s">
        <v>47</v>
      </c>
      <c r="AP184" s="7">
        <f>Q184</f>
      </c>
    </row>
    <row r="185" ht="18" customHeight="1" spans="1:42" x14ac:dyDescent="0.25">
      <c r="A185" s="14" t="s">
        <v>38</v>
      </c>
      <c r="B185" s="14" t="s">
        <v>39</v>
      </c>
      <c r="C185" s="14" t="s">
        <v>40</v>
      </c>
      <c r="D185" s="14" t="s">
        <v>956</v>
      </c>
      <c r="E185" s="14" t="s">
        <v>123</v>
      </c>
      <c r="F185" s="14" t="s">
        <v>976</v>
      </c>
      <c r="G185" s="14" t="s">
        <v>47</v>
      </c>
      <c r="H185" s="14" t="s">
        <v>977</v>
      </c>
      <c r="I185" s="14" t="s">
        <v>558</v>
      </c>
      <c r="J185" s="14" t="s">
        <v>926</v>
      </c>
      <c r="K185" s="15" t="s">
        <v>605</v>
      </c>
      <c r="L185" s="15" t="s">
        <v>67</v>
      </c>
      <c r="M185" s="15" t="s">
        <v>274</v>
      </c>
      <c r="N185" s="14" t="s">
        <v>67</v>
      </c>
      <c r="O185" s="7">
        <v>29153</v>
      </c>
      <c r="P185" s="7">
        <v>29153</v>
      </c>
      <c r="Q185" s="7">
        <f>P185-O185</f>
      </c>
      <c r="R185" s="7">
        <v>0</v>
      </c>
      <c r="S185" s="7">
        <f>IF(Q185-R185&lt;0,"0",Q185-R185)</f>
      </c>
      <c r="T185" s="7">
        <v>0</v>
      </c>
      <c r="U185" s="16">
        <v>46182.47916666667</v>
      </c>
      <c r="V185" s="16">
        <v>46182.47916666667</v>
      </c>
      <c r="W185" s="10">
        <f>V185-U185</f>
      </c>
      <c r="X185" s="10">
        <v>0</v>
      </c>
      <c r="Y185" s="10">
        <f>IF(W185-X185&lt;0,"00:00:00",W185-X185)</f>
      </c>
      <c r="Z185" s="11">
        <v>0</v>
      </c>
      <c r="AA185" s="11">
        <v>0</v>
      </c>
      <c r="AB185" s="11">
        <f>Y185*Z185*24</f>
      </c>
      <c r="AC185" s="11">
        <f>S185*AA185</f>
      </c>
      <c r="AD185" s="11">
        <f>T185*AA185</f>
      </c>
      <c r="AE185" s="11">
        <v>0</v>
      </c>
      <c r="AF185" s="11">
        <v>4.9</v>
      </c>
      <c r="AG185" s="11">
        <f>SUM(AB185:AF185)</f>
      </c>
      <c r="AH185" s="14"/>
      <c r="AI185" s="14"/>
      <c r="AJ185" s="14"/>
      <c r="AK185" s="14"/>
      <c r="AL185" s="14"/>
      <c r="AM185" s="17"/>
      <c r="AN185" s="17"/>
      <c r="AO185" s="14" t="s">
        <v>47</v>
      </c>
      <c r="AP185" s="7">
        <f>Q185</f>
      </c>
    </row>
    <row r="186" ht="18" customHeight="1" spans="1:42" x14ac:dyDescent="0.25">
      <c r="A186" s="14" t="s">
        <v>38</v>
      </c>
      <c r="B186" s="14" t="s">
        <v>39</v>
      </c>
      <c r="C186" s="14" t="s">
        <v>40</v>
      </c>
      <c r="D186" s="14" t="s">
        <v>978</v>
      </c>
      <c r="E186" s="14" t="s">
        <v>123</v>
      </c>
      <c r="F186" s="14" t="s">
        <v>979</v>
      </c>
      <c r="G186" s="14" t="s">
        <v>47</v>
      </c>
      <c r="H186" s="14" t="s">
        <v>980</v>
      </c>
      <c r="I186" s="14" t="s">
        <v>148</v>
      </c>
      <c r="J186" s="14" t="s">
        <v>981</v>
      </c>
      <c r="K186" s="15" t="s">
        <v>115</v>
      </c>
      <c r="L186" s="15" t="s">
        <v>67</v>
      </c>
      <c r="M186" s="15" t="s">
        <v>274</v>
      </c>
      <c r="N186" s="14" t="s">
        <v>67</v>
      </c>
      <c r="O186" s="7">
        <v>545323</v>
      </c>
      <c r="P186" s="7">
        <v>545323</v>
      </c>
      <c r="Q186" s="7">
        <f>P186-O186</f>
      </c>
      <c r="R186" s="7">
        <v>0</v>
      </c>
      <c r="S186" s="7">
        <f>IF(Q186-R186&lt;0,"0",Q186-R186)</f>
      </c>
      <c r="T186" s="7">
        <v>0</v>
      </c>
      <c r="U186" s="16">
        <v>46182.47916666667</v>
      </c>
      <c r="V186" s="16">
        <v>46182.47916666667</v>
      </c>
      <c r="W186" s="10">
        <f>V186-U186</f>
      </c>
      <c r="X186" s="10">
        <v>0</v>
      </c>
      <c r="Y186" s="10">
        <f>IF(W186-X186&lt;0,"00:00:00",W186-X186)</f>
      </c>
      <c r="Z186" s="11">
        <v>0</v>
      </c>
      <c r="AA186" s="11">
        <v>0</v>
      </c>
      <c r="AB186" s="11">
        <f>Y186*Z186*24</f>
      </c>
      <c r="AC186" s="11">
        <f>S186*AA186</f>
      </c>
      <c r="AD186" s="11">
        <f>T186*AA186</f>
      </c>
      <c r="AE186" s="11">
        <v>0</v>
      </c>
      <c r="AF186" s="11">
        <v>4.8</v>
      </c>
      <c r="AG186" s="11">
        <f>SUM(AB186:AF186)</f>
      </c>
      <c r="AH186" s="14"/>
      <c r="AI186" s="14"/>
      <c r="AJ186" s="14"/>
      <c r="AK186" s="14"/>
      <c r="AL186" s="14"/>
      <c r="AM186" s="17"/>
      <c r="AN186" s="17"/>
      <c r="AO186" s="14" t="s">
        <v>47</v>
      </c>
      <c r="AP186" s="7">
        <f>Q186</f>
      </c>
    </row>
    <row r="187" ht="18" customHeight="1" spans="1:42" x14ac:dyDescent="0.25">
      <c r="A187" s="14" t="s">
        <v>38</v>
      </c>
      <c r="B187" s="14" t="s">
        <v>39</v>
      </c>
      <c r="C187" s="14" t="s">
        <v>40</v>
      </c>
      <c r="D187" s="14" t="s">
        <v>978</v>
      </c>
      <c r="E187" s="14" t="s">
        <v>123</v>
      </c>
      <c r="F187" s="14" t="s">
        <v>982</v>
      </c>
      <c r="G187" s="14" t="s">
        <v>47</v>
      </c>
      <c r="H187" s="14" t="s">
        <v>983</v>
      </c>
      <c r="I187" s="14" t="s">
        <v>222</v>
      </c>
      <c r="J187" s="14" t="s">
        <v>981</v>
      </c>
      <c r="K187" s="15" t="s">
        <v>546</v>
      </c>
      <c r="L187" s="15" t="s">
        <v>67</v>
      </c>
      <c r="M187" s="15" t="s">
        <v>274</v>
      </c>
      <c r="N187" s="14" t="s">
        <v>67</v>
      </c>
      <c r="O187" s="7">
        <v>52301</v>
      </c>
      <c r="P187" s="7">
        <v>52301</v>
      </c>
      <c r="Q187" s="7">
        <f>P187-O187</f>
      </c>
      <c r="R187" s="7">
        <v>0</v>
      </c>
      <c r="S187" s="7">
        <f>IF(Q187-R187&lt;0,"0",Q187-R187)</f>
      </c>
      <c r="T187" s="7">
        <v>0</v>
      </c>
      <c r="U187" s="16">
        <v>46182.47916666667</v>
      </c>
      <c r="V187" s="16">
        <v>46182.47916666667</v>
      </c>
      <c r="W187" s="10">
        <f>V187-U187</f>
      </c>
      <c r="X187" s="10">
        <v>0</v>
      </c>
      <c r="Y187" s="10">
        <f>IF(W187-X187&lt;0,"00:00:00",W187-X187)</f>
      </c>
      <c r="Z187" s="11">
        <v>0</v>
      </c>
      <c r="AA187" s="11">
        <v>0</v>
      </c>
      <c r="AB187" s="11">
        <f>Y187*Z187*24</f>
      </c>
      <c r="AC187" s="11">
        <f>S187*AA187</f>
      </c>
      <c r="AD187" s="11">
        <f>T187*AA187</f>
      </c>
      <c r="AE187" s="11">
        <v>0</v>
      </c>
      <c r="AF187" s="11">
        <v>18.8</v>
      </c>
      <c r="AG187" s="11">
        <f>SUM(AB187:AF187)</f>
      </c>
      <c r="AH187" s="14"/>
      <c r="AI187" s="14"/>
      <c r="AJ187" s="14"/>
      <c r="AK187" s="14"/>
      <c r="AL187" s="14"/>
      <c r="AM187" s="17"/>
      <c r="AN187" s="17"/>
      <c r="AO187" s="14" t="s">
        <v>47</v>
      </c>
      <c r="AP187" s="7">
        <f>Q187</f>
      </c>
    </row>
    <row r="188" ht="18" customHeight="1" spans="1:42" x14ac:dyDescent="0.25">
      <c r="A188" s="14" t="s">
        <v>38</v>
      </c>
      <c r="B188" s="14" t="s">
        <v>39</v>
      </c>
      <c r="C188" s="14" t="s">
        <v>40</v>
      </c>
      <c r="D188" s="14" t="s">
        <v>947</v>
      </c>
      <c r="E188" s="14" t="s">
        <v>195</v>
      </c>
      <c r="F188" s="14" t="s">
        <v>984</v>
      </c>
      <c r="G188" s="14" t="s">
        <v>47</v>
      </c>
      <c r="H188" s="14" t="s">
        <v>985</v>
      </c>
      <c r="I188" s="14" t="s">
        <v>986</v>
      </c>
      <c r="J188" s="14" t="s">
        <v>987</v>
      </c>
      <c r="K188" s="15" t="s">
        <v>169</v>
      </c>
      <c r="L188" s="15" t="s">
        <v>67</v>
      </c>
      <c r="M188" s="15" t="s">
        <v>201</v>
      </c>
      <c r="N188" s="14" t="s">
        <v>98</v>
      </c>
      <c r="O188" s="7">
        <v>39675</v>
      </c>
      <c r="P188" s="7">
        <v>0</v>
      </c>
      <c r="Q188" s="7">
        <f>P188-O188</f>
      </c>
      <c r="R188" s="7">
        <v>0</v>
      </c>
      <c r="S188" s="7">
        <f>IF(Q188-R188&lt;0,"0",Q188-R188)</f>
      </c>
      <c r="T188" s="7">
        <v>0</v>
      </c>
      <c r="U188" s="16">
        <v>46182.16666666667</v>
      </c>
      <c r="V188" s="16">
        <v>46182.61388888889</v>
      </c>
      <c r="W188" s="10">
        <f>V188-U188</f>
      </c>
      <c r="X188" s="10">
        <v>0</v>
      </c>
      <c r="Y188" s="10">
        <f>IF(W188-X188&lt;0,"00:00:00",W188-X188)</f>
      </c>
      <c r="Z188" s="11">
        <v>0</v>
      </c>
      <c r="AA188" s="11">
        <v>0</v>
      </c>
      <c r="AB188" s="11">
        <f>Y188*Z188*24</f>
      </c>
      <c r="AC188" s="11">
        <f>S188*AA188</f>
      </c>
      <c r="AD188" s="11">
        <f>T188*AA188</f>
      </c>
      <c r="AE188" s="11">
        <v>0</v>
      </c>
      <c r="AF188" s="11">
        <v>0</v>
      </c>
      <c r="AG188" s="11">
        <f>SUM(AB188:AF188)</f>
      </c>
      <c r="AH188" s="14"/>
      <c r="AI188" s="14"/>
      <c r="AJ188" s="14"/>
      <c r="AK188" s="14"/>
      <c r="AL188" s="14"/>
      <c r="AM188" s="17"/>
      <c r="AN188" s="17"/>
      <c r="AO188" s="14" t="s">
        <v>47</v>
      </c>
      <c r="AP188" s="7">
        <f>Q188</f>
      </c>
    </row>
    <row r="189" ht="18" customHeight="1" spans="1:42" x14ac:dyDescent="0.25">
      <c r="A189" s="3" t="s">
        <v>38</v>
      </c>
      <c r="B189" s="3" t="s">
        <v>39</v>
      </c>
      <c r="C189" s="3" t="s">
        <v>40</v>
      </c>
      <c r="D189" s="3" t="s">
        <v>41</v>
      </c>
      <c r="E189" s="3" t="s">
        <v>81</v>
      </c>
      <c r="F189" s="3" t="s">
        <v>988</v>
      </c>
      <c r="G189" s="4" t="s">
        <v>47</v>
      </c>
      <c r="H189" s="3" t="s">
        <v>989</v>
      </c>
      <c r="I189" s="3" t="s">
        <v>461</v>
      </c>
      <c r="J189" s="3" t="s">
        <v>990</v>
      </c>
      <c r="K189" s="5" t="s">
        <v>87</v>
      </c>
      <c r="L189" s="5" t="s">
        <v>88</v>
      </c>
      <c r="M189" s="5" t="s">
        <v>991</v>
      </c>
      <c r="N189" s="3" t="s">
        <v>88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46182.25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  <c r="AO189" s="3" t="s">
        <v>901</v>
      </c>
      <c r="AP189" s="6">
        <f>Q189</f>
      </c>
    </row>
    <row r="190" ht="18" customHeight="1" spans="1:42" x14ac:dyDescent="0.25">
      <c r="A190" s="14" t="s">
        <v>38</v>
      </c>
      <c r="B190" s="14" t="s">
        <v>39</v>
      </c>
      <c r="C190" s="14" t="s">
        <v>40</v>
      </c>
      <c r="D190" s="14" t="s">
        <v>992</v>
      </c>
      <c r="E190" s="14" t="s">
        <v>123</v>
      </c>
      <c r="F190" s="14" t="s">
        <v>993</v>
      </c>
      <c r="G190" s="14" t="s">
        <v>47</v>
      </c>
      <c r="H190" s="14" t="s">
        <v>994</v>
      </c>
      <c r="I190" s="14" t="s">
        <v>726</v>
      </c>
      <c r="J190" s="14" t="s">
        <v>816</v>
      </c>
      <c r="K190" s="15" t="s">
        <v>79</v>
      </c>
      <c r="L190" s="15" t="s">
        <v>67</v>
      </c>
      <c r="M190" s="15" t="s">
        <v>995</v>
      </c>
      <c r="N190" s="14" t="s">
        <v>67</v>
      </c>
      <c r="O190" s="7">
        <v>52804</v>
      </c>
      <c r="P190" s="7">
        <v>52839</v>
      </c>
      <c r="Q190" s="7">
        <f>P190-O190</f>
      </c>
      <c r="R190" s="7">
        <v>0</v>
      </c>
      <c r="S190" s="7">
        <f>IF(Q190-R190&lt;0,"0",Q190-R190)</f>
      </c>
      <c r="T190" s="7">
        <v>0</v>
      </c>
      <c r="U190" s="16">
        <v>46182.16666666667</v>
      </c>
      <c r="V190" s="16">
        <v>46182.48645833333</v>
      </c>
      <c r="W190" s="10">
        <f>V190-U190</f>
      </c>
      <c r="X190" s="10">
        <v>0</v>
      </c>
      <c r="Y190" s="10">
        <f>IF(W190-X190&lt;0,"00:00:00",W190-X190)</f>
      </c>
      <c r="Z190" s="11">
        <v>0</v>
      </c>
      <c r="AA190" s="11">
        <v>0</v>
      </c>
      <c r="AB190" s="11">
        <f>Y190*Z190*24</f>
      </c>
      <c r="AC190" s="11">
        <f>S190*AA190</f>
      </c>
      <c r="AD190" s="11">
        <f>T190*AA190</f>
      </c>
      <c r="AE190" s="11">
        <v>0</v>
      </c>
      <c r="AF190" s="11">
        <v>4.9</v>
      </c>
      <c r="AG190" s="11">
        <f>SUM(AB190:AF190)</f>
      </c>
      <c r="AH190" s="14"/>
      <c r="AI190" s="14"/>
      <c r="AJ190" s="14"/>
      <c r="AK190" s="14"/>
      <c r="AL190" s="14"/>
      <c r="AM190" s="17"/>
      <c r="AN190" s="17"/>
      <c r="AO190" s="14" t="s">
        <v>47</v>
      </c>
      <c r="AP190" s="7">
        <f>Q190</f>
      </c>
    </row>
    <row r="191" ht="18" customHeight="1" spans="1:42" x14ac:dyDescent="0.25">
      <c r="A191" s="14" t="s">
        <v>38</v>
      </c>
      <c r="B191" s="14" t="s">
        <v>39</v>
      </c>
      <c r="C191" s="14" t="s">
        <v>40</v>
      </c>
      <c r="D191" s="14" t="s">
        <v>996</v>
      </c>
      <c r="E191" s="14" t="s">
        <v>619</v>
      </c>
      <c r="F191" s="14" t="s">
        <v>997</v>
      </c>
      <c r="G191" s="14" t="s">
        <v>47</v>
      </c>
      <c r="H191" s="14" t="s">
        <v>998</v>
      </c>
      <c r="I191" s="14" t="s">
        <v>788</v>
      </c>
      <c r="J191" s="14" t="s">
        <v>999</v>
      </c>
      <c r="K191" s="15" t="s">
        <v>1000</v>
      </c>
      <c r="L191" s="15" t="s">
        <v>67</v>
      </c>
      <c r="M191" s="15" t="s">
        <v>1001</v>
      </c>
      <c r="N191" s="14" t="s">
        <v>250</v>
      </c>
      <c r="O191" s="7">
        <v>159994</v>
      </c>
      <c r="P191" s="7">
        <v>159994</v>
      </c>
      <c r="Q191" s="7">
        <f>P191-O191</f>
      </c>
      <c r="R191" s="7">
        <v>0</v>
      </c>
      <c r="S191" s="7">
        <f>IF(Q191-R191&lt;0,"0",Q191-R191)</f>
      </c>
      <c r="T191" s="7">
        <v>0</v>
      </c>
      <c r="U191" s="16">
        <v>46182.54166666667</v>
      </c>
      <c r="V191" s="16">
        <v>46182.54166666667</v>
      </c>
      <c r="W191" s="10">
        <f>V191-U191</f>
      </c>
      <c r="X191" s="10">
        <v>0</v>
      </c>
      <c r="Y191" s="10">
        <f>IF(W191-X191&lt;0,"00:00:00",W191-X191)</f>
      </c>
      <c r="Z191" s="11">
        <v>0</v>
      </c>
      <c r="AA191" s="11">
        <v>0</v>
      </c>
      <c r="AB191" s="11">
        <f>Y191*Z191*24</f>
      </c>
      <c r="AC191" s="11">
        <f>S191*AA191</f>
      </c>
      <c r="AD191" s="11">
        <f>T191*AA191</f>
      </c>
      <c r="AE191" s="11">
        <v>0</v>
      </c>
      <c r="AF191" s="11">
        <v>0</v>
      </c>
      <c r="AG191" s="11">
        <f>SUM(AB191:AF191)</f>
      </c>
      <c r="AH191" s="14"/>
      <c r="AI191" s="14"/>
      <c r="AJ191" s="14"/>
      <c r="AK191" s="14"/>
      <c r="AL191" s="14"/>
      <c r="AM191" s="17"/>
      <c r="AN191" s="17"/>
      <c r="AO191" s="14" t="s">
        <v>47</v>
      </c>
      <c r="AP191" s="7">
        <f>Q191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2026-06-09T19:33:35Z</dcterms:created>
  <dcterms:modified xsi:type="dcterms:W3CDTF">2026-06-09T19:33:35Z</dcterms:modified>
</cp:coreProperties>
</file>