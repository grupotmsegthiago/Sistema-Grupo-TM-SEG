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<sst xmlns="http://schemas.openxmlformats.org/spreadsheetml/2006/main" count="1144" uniqueCount="498">
  <si>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</si>
  <si>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</si>
  <si>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</si>
  <si>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</si>
  <si>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</si>
  <si>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</si>
  <si>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</si>
  <si>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</si>
  <si>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</si>
  <si>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</si>
  <si>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</si>
  <si>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</si>
  <si>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</si>
  <si>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</si>
  <si>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</si>
  <si>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</si>
  <si>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</si>
  <si>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</si>
  <si>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</si>
  <si>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</si>
  <si>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</si>
  <si>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</si>
  <si>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</si>
  <si>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</si>
  <si>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</si>
  <si>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</si>
  <si>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</si>
  <si>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</si>
  <si>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</si>
  <si>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</si>
  <si>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</si>
  <si>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</si>
  <si>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</si>
  <si>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</si>
  <si>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</si>
  <si>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</si>
  <si>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</si>
  <si>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TM SEG</t>
  </si>
  <si>
    <t>18/05/2026 à 24/05/2026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</si>
  <si>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</si>
  <si>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</si>
  <si>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</si>
  <si>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</si>
  <si>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</si>
  <si>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</si>
  <si>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</si>
  <si>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</si>
  <si>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</si>
  <si>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</si>
  <si>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</si>
  <si>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</si>
  <si>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</si>
  <si>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</si>
  <si>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</si>
  <si>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</si>
  <si>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</si>
  <si>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</si>
  <si>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</si>
  <si>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</si>
  <si>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</si>
  <si>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</si>
  <si>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</si>
  <si>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</si>
  <si>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</si>
  <si>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</si>
  <si>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</si>
  <si>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</si>
  <si>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</si>
  <si>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</si>
  <si>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</si>
  <si>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</si>
  <si>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</si>
  <si>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</si>
  <si>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</si>
  <si>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</si>
  <si>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</si>
  <si>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</si>
  <si>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</si>
  <si>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</si>
  <si>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</si>
  <si>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</si>
  <si>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</si>
  <si>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</si>
  <si>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</si>
  <si>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</si>
  <si>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</si>
  <si>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</si>
  <si>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</si>
  <si>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</si>
  <si>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</si>
  <si>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</si>
  <si>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</si>
  <si>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</si>
  <si>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</si>
  <si>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</si>
  <si>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</si>
  <si>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</si>
  <si>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</si>
  <si>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</si>
  <si>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</si>
  <si>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</si>
  <si>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</si>
  <si>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</si>
  <si>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</si>
  <si>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</si>
  <si>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</si>
  <si>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</si>
  <si>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</si>
  <si>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</si>
  <si>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</si>
  <si>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</si>
  <si>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</si>
  <si>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</si>
  <si>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</si>
  <si>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</si>
  <si>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</si>
  <si>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</si>
  <si>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</si>
  <si>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</si>
  <si>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</si>
  <si>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</si>
  <si>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</si>
  <si>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</si>
  <si>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</si>
  <si>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</si>
  <si>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</si>
  <si>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</si>
  <si>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</si>
  <si>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</si>
  <si>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</si>
  <si>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</si>
  <si>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</si>
  <si>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</si>
  <si>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</si>
  <si>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</si>
  <si>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</si>
  <si>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</si>
  <si>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</si>
  <si>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</si>
  <si>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</si>
  <si>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</si>
  <si>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</si>
  <si>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</si>
  <si>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</si>
  <si>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</si>
  <si>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</si>
  <si>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</si>
  <si>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</si>
  <si>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</si>
  <si>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</si>
  <si>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</si>
  <si>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</si>
  <si>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</si>
  <si>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</si>
  <si>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</si>
  <si>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</si>
  <si>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</si>
  <si>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</si>
  <si>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</si>
  <si>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</si>
  <si>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</si>
  <si>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</si>
  <si>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</si>
  <si>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</si>
  <si>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</si>
  <si>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</si>
  <si>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</si>
  <si>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</si>
  <si>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</si>
  <si>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</si>
  <si>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</si>
  <si>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</si>
  <si>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</si>
  <si>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</si>
  <si>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</si>
  <si>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</si>
  <si>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</si>
  <si>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</si>
  <si>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</si>
  <si>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</si>
  <si>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</si>
  <si>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</si>
  <si>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</si>
  <si>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</si>
  <si>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</si>
  <si>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</si>
  <si>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</si>
  <si>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</si>
  <si>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</si>
  <si>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</si>
  <si>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</si>
  <si>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</si>
  <si>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</si>
  <si>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</si>
  <si>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</si>
  <si>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</si>
  <si>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</si>
  <si>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</si>
  <si>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</si>
  <si>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</si>
  <si>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</si>
  <si>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</si>
  <si>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</si>
  <si>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</si>
  <si>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</si>
  <si>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</si>
  <si>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</si>
  <si>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</si>
  <si>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</si>
  <si>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</si>
  <si>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</si>
  <si>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</si>
  <si>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</si>
  <si>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</si>
  <si>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</si>
  <si>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</si>
  <si>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</si>
  <si>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</si>
  <si>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</si>
  <si>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</si>
  <si>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</si>
  <si>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</si>
  <si>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</si>
  <si>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</si>
  <si>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</si>
  <si>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</si>
  <si>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</si>
  <si>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</si>
  <si>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</si>
  <si>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</si>
  <si>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</si>
  <si>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</si>
  <si>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</si>
  <si>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</si>
  <si>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</si>
  <si>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</si>
  <si>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</si>
  <si>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</si>
  <si>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</si>
  <si>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</si>
  <si>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</si>
  <si>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</si>
  <si>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</si>
  <si>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</si>
  <si>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</si>
  <si>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</si>
  <si>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</si>
  <si>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</si>
  <si>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</si>
  <si>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</si>
  <si>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</si>
  <si>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</si>
  <si>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</si>
  <si>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</si>
  <si>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</si>
  <si>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</si>
  <si>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</si>
  <si>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</si>
  <si>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</si>
  <si>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</si>
  <si>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</si>
  <si>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</si>
  <si>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</si>
  <si>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</si>
  <si>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</si>
  <si>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</si>
  <si>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</si>
  <si>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</si>
  <si>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</si>
  <si>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</si>
  <si>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</si>
  <si>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</si>
  <si>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</si>
  <si>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</si>
  <si>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</si>
  <si>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</si>
  <si>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</si>
  <si>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</si>
  <si>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</si>
  <si>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</si>
  <si>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</si>
  <si>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</si>
  <si>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</si>
  <si>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</si>
  <si>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</si>
  <si>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</si>
  <si>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</si>
  <si>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</si>
  <si>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</si>
  <si>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</si>
  <si>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</si>
  <si>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</si>
  <si>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</si>
  <si>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</si>
  <si>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</si>
  <si>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</si>
  <si>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</si>
  <si>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</si>
  <si>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</si>
  <si>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</si>
  <si>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</si>
  <si>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</si>
  <si>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</si>
  <si>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</si>
  <si>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</si>
  <si>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</si>
  <si>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</si>
  <si>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</si>
  <si>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</si>
  <si>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</si>
  <si>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</si>
  <si>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</si>
  <si>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</si>
  <si>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</si>
  <si>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</si>
  <si>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</si>
  <si>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</si>
  <si>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</si>
  <si>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</si>
  <si>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</si>
  <si>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</si>
  <si>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</si>
  <si>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</si>
  <si>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</si>
  <si>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</si>
  <si>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</si>
  <si>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</si>
  <si>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</si>
  <si>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</si>
  <si>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</si>
  <si>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</si>
  <si>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</si>
  <si>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</si>
  <si>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</si>
  <si>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</si>
  <si>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</si>
  <si>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</si>
  <si>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</si>
  <si>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</si>
  <si>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</si>
  <si>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</si>
  <si>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</si>
  <si>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</si>
  <si>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</si>
  <si>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</si>
  <si>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</si>
  <si>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</si>
  <si>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</si>
  <si>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</si>
  <si>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</si>
  <si>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</si>
  <si>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</si>
  <si>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</si>
  <si>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</si>
  <si>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</si>
  <si>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</si>
  <si>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</si>
  <si>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</si>
  <si>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</si>
  <si>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</si>
  <si>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</si>
  <si>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</si>
  <si>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</si>
  <si>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</si>
  <si>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</si>
  <si>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</si>
  <si>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</si>
  <si>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</si>
  <si>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</si>
  <si>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</si>
  <si>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</si>
  <si>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</si>
  <si>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</si>
  <si>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</si>
  <si>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</si>
  <si>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</si>
  <si>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</si>
  <si>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</si>
  <si>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BARUERI-BRASILIA</t>
  </si>
  <si>
    <t>179256</t>
  </si>
  <si>
    <t>1558026</t>
  </si>
  <si>
    <t>5150</t>
  </si>
  <si>
    <t>AXJ7C64</t>
  </si>
  <si>
    <t>BRASÍLIA - PLANO PILOTO, BRASÍLIA - DF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</si>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</sst>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</cols>
  <sheetData>
    <row r="1" ht="30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</row>
    <row r="2" ht="18" customHeight="1" spans="1:38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4" t="s">
        <v>46</v>
      </c>
      <c r="K2" s="5" t="s">
        <v>47</v>
      </c>
      <c r="L2" s="5" t="s">
        <v>48</v>
      </c>
      <c r="M2" s="5" t="s">
        <v>47</v>
      </c>
      <c r="N2" s="3" t="s">
        <v>48</v>
      </c>
      <c r="O2" s="6">
        <v>297936</v>
      </c>
      <c r="P2" s="6">
        <v>298036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</row>
    <row r="3" ht="18" customHeight="1" spans="1:38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5" t="s">
        <v>55</v>
      </c>
      <c r="L3" s="5" t="s">
        <v>56</v>
      </c>
      <c r="M3" s="5" t="s">
        <v>55</v>
      </c>
      <c r="N3" s="3" t="s">
        <v>56</v>
      </c>
      <c r="O3" s="6">
        <v>5747</v>
      </c>
      <c r="P3" s="6">
        <v>5847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46161.57916666666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</row>
    <row r="4" ht="18" customHeight="1" spans="1:38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5" t="s">
        <v>63</v>
      </c>
      <c r="L4" s="5" t="s">
        <v>64</v>
      </c>
      <c r="M4" s="5" t="s">
        <v>65</v>
      </c>
      <c r="N4" s="4" t="s">
        <v>46</v>
      </c>
      <c r="O4" s="6">
        <v>14337</v>
      </c>
      <c r="P4" s="6">
        <v>14437</v>
      </c>
      <c r="Q4" s="6">
        <f>P4-O4</f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46161.04166666667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6.9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</row>
    <row r="5" ht="18" customHeight="1" spans="1:38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49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5" t="s">
        <v>55</v>
      </c>
      <c r="L5" s="5" t="s">
        <v>56</v>
      </c>
      <c r="M5" s="5" t="s">
        <v>55</v>
      </c>
      <c r="N5" s="3" t="s">
        <v>56</v>
      </c>
      <c r="O5" s="6">
        <v>6101</v>
      </c>
      <c r="P5" s="6">
        <v>6201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46161.584027777775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</row>
    <row r="6" ht="18" customHeight="1" spans="1:38" x14ac:dyDescent="0.25">
      <c r="A6" s="3" t="s">
        <v>37</v>
      </c>
      <c r="B6" s="3" t="s">
        <v>38</v>
      </c>
      <c r="C6" s="3" t="s">
        <v>39</v>
      </c>
      <c r="D6" s="3" t="s">
        <v>71</v>
      </c>
      <c r="E6" s="3" t="s">
        <v>57</v>
      </c>
      <c r="F6" s="3" t="s">
        <v>72</v>
      </c>
      <c r="G6" s="3" t="s">
        <v>73</v>
      </c>
      <c r="H6" s="3" t="s">
        <v>74</v>
      </c>
      <c r="I6" s="4" t="s">
        <v>46</v>
      </c>
      <c r="J6" s="4" t="s">
        <v>46</v>
      </c>
      <c r="K6" s="5" t="s">
        <v>75</v>
      </c>
      <c r="L6" s="5" t="s">
        <v>64</v>
      </c>
      <c r="M6" s="5" t="s">
        <v>75</v>
      </c>
      <c r="N6" s="3" t="s">
        <v>64</v>
      </c>
      <c r="O6" s="6">
        <v>0</v>
      </c>
      <c r="P6" s="6">
        <v>0</v>
      </c>
      <c r="Q6" s="6">
        <f>P6-O6</f>
      </c>
      <c r="R6" s="7">
        <v>100</v>
      </c>
      <c r="S6" s="6">
        <f>IF(Q6-R6&lt;0,"0",Q6-R6)</f>
      </c>
      <c r="T6" s="6">
        <v>0</v>
      </c>
      <c r="U6" s="8">
        <v>46161.04166666667</v>
      </c>
      <c r="V6" s="8">
        <v>46161.16666666667</v>
      </c>
      <c r="W6" s="9">
        <f>V6-U6</f>
      </c>
      <c r="X6" s="10">
        <v>0.125</v>
      </c>
      <c r="Y6" s="9">
        <f>IF(W6-X6&lt;0,"00:00:00",W6-X6)</f>
      </c>
      <c r="Z6" s="11">
        <v>145</v>
      </c>
      <c r="AA6" s="11">
        <v>6.9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</row>
    <row r="7" ht="18" customHeight="1" spans="1:38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5" t="s">
        <v>82</v>
      </c>
      <c r="L7" s="5" t="s">
        <v>83</v>
      </c>
      <c r="M7" s="5" t="s">
        <v>84</v>
      </c>
      <c r="N7" s="3" t="s">
        <v>83</v>
      </c>
      <c r="O7" s="6">
        <v>161668</v>
      </c>
      <c r="P7" s="6">
        <v>161768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46161.39583333333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</row>
    <row r="8" ht="18" customHeight="1" spans="1:38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85</v>
      </c>
      <c r="F8" s="3" t="s">
        <v>86</v>
      </c>
      <c r="G8" s="3" t="s">
        <v>87</v>
      </c>
      <c r="H8" s="3" t="s">
        <v>88</v>
      </c>
      <c r="I8" s="3" t="s">
        <v>89</v>
      </c>
      <c r="J8" s="3" t="s">
        <v>90</v>
      </c>
      <c r="K8" s="5" t="s">
        <v>91</v>
      </c>
      <c r="L8" s="5" t="s">
        <v>92</v>
      </c>
      <c r="M8" s="5" t="s">
        <v>93</v>
      </c>
      <c r="N8" s="4" t="s">
        <v>46</v>
      </c>
      <c r="O8" s="6">
        <v>241818</v>
      </c>
      <c r="P8" s="6">
        <v>241918</v>
      </c>
      <c r="Q8" s="6">
        <f>P8-O8</f>
      </c>
      <c r="R8" s="7">
        <v>100</v>
      </c>
      <c r="S8" s="6">
        <f>IF(Q8-R8&lt;0,"0",Q8-R8)</f>
      </c>
      <c r="T8" s="6">
        <v>0</v>
      </c>
      <c r="U8" s="8">
        <v>46161.3125</v>
      </c>
      <c r="V8" s="8">
        <v>46161.4375</v>
      </c>
      <c r="W8" s="9">
        <f>V8-U8</f>
      </c>
      <c r="X8" s="10">
        <v>0.125</v>
      </c>
      <c r="Y8" s="9">
        <f>IF(W8-X8&lt;0,"00:00:00",W8-X8)</f>
      </c>
      <c r="Z8" s="11">
        <v>145</v>
      </c>
      <c r="AA8" s="11">
        <v>6.9</v>
      </c>
      <c r="AB8" s="12">
        <f>Y8*Z8*24</f>
      </c>
      <c r="AC8" s="12">
        <f>S8*AA8</f>
      </c>
      <c r="AD8" s="12">
        <f>T8*AA8</f>
      </c>
      <c r="AE8" s="11">
        <v>690</v>
      </c>
      <c r="AF8" s="12">
        <v>0</v>
      </c>
      <c r="AG8" s="12">
        <f>SUM(AB8:AF8)</f>
      </c>
      <c r="AH8" s="3"/>
      <c r="AI8" s="3"/>
      <c r="AJ8" s="3"/>
      <c r="AK8" s="3"/>
      <c r="AL8" s="3"/>
    </row>
    <row r="9" ht="18" customHeight="1" spans="1:38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99</v>
      </c>
      <c r="K9" s="5" t="s">
        <v>100</v>
      </c>
      <c r="L9" s="5" t="s">
        <v>101</v>
      </c>
      <c r="M9" s="5" t="s">
        <v>102</v>
      </c>
      <c r="N9" s="3" t="s">
        <v>101</v>
      </c>
      <c r="O9" s="6">
        <v>183495</v>
      </c>
      <c r="P9" s="6">
        <v>183595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46161.419444444444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</row>
    <row r="10" ht="18" customHeight="1" spans="1:38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57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5" t="s">
        <v>108</v>
      </c>
      <c r="L10" s="5" t="s">
        <v>64</v>
      </c>
      <c r="M10" s="5" t="s">
        <v>109</v>
      </c>
      <c r="N10" s="3" t="s">
        <v>64</v>
      </c>
      <c r="O10" s="6">
        <v>131753</v>
      </c>
      <c r="P10" s="6">
        <v>131853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46162.08819444444</v>
      </c>
      <c r="W10" s="9">
        <f>V10-U10</f>
      </c>
      <c r="X10" s="10">
        <v>0.125</v>
      </c>
      <c r="Y10" s="9">
        <f>IF(W10-X10&lt;0,"00:00:00",W10-X10)</f>
      </c>
      <c r="Z10" s="11">
        <v>145</v>
      </c>
      <c r="AA10" s="11">
        <v>6.9</v>
      </c>
      <c r="AB10" s="12">
        <f>Y10*Z10*24</f>
      </c>
      <c r="AC10" s="12">
        <f>S10*AA10</f>
      </c>
      <c r="AD10" s="12">
        <f>T10*AA10</f>
      </c>
      <c r="AE10" s="11">
        <v>689.9999999999999</v>
      </c>
      <c r="AF10" s="12">
        <v>5.9</v>
      </c>
      <c r="AG10" s="12">
        <f>SUM(AB10:AF10)</f>
      </c>
      <c r="AH10" s="3"/>
      <c r="AI10" s="3"/>
      <c r="AJ10" s="3"/>
      <c r="AK10" s="3"/>
      <c r="AL10" s="3"/>
    </row>
    <row r="11" ht="18" customHeight="1" spans="1:38" x14ac:dyDescent="0.25">
      <c r="A11" s="3" t="s">
        <v>37</v>
      </c>
      <c r="B11" s="3" t="s">
        <v>38</v>
      </c>
      <c r="C11" s="3" t="s">
        <v>39</v>
      </c>
      <c r="D11" s="3" t="s">
        <v>110</v>
      </c>
      <c r="E11" s="3" t="s">
        <v>111</v>
      </c>
      <c r="F11" s="3" t="s">
        <v>112</v>
      </c>
      <c r="G11" s="4" t="s">
        <v>46</v>
      </c>
      <c r="H11" s="3" t="s">
        <v>113</v>
      </c>
      <c r="I11" s="4" t="s">
        <v>46</v>
      </c>
      <c r="J11" s="4" t="s">
        <v>46</v>
      </c>
      <c r="K11" s="5" t="s">
        <v>114</v>
      </c>
      <c r="L11" s="5" t="s">
        <v>115</v>
      </c>
      <c r="M11" s="5" t="s">
        <v>93</v>
      </c>
      <c r="N11" s="4" t="s">
        <v>46</v>
      </c>
      <c r="O11" s="6">
        <v>0</v>
      </c>
      <c r="P11" s="6">
        <v>0</v>
      </c>
      <c r="Q11" s="6">
        <f>P11-O11</f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6.9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</row>
    <row r="12" ht="18" customHeight="1" spans="1:38" x14ac:dyDescent="0.2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5" t="s">
        <v>122</v>
      </c>
      <c r="L12" s="5" t="s">
        <v>64</v>
      </c>
      <c r="M12" s="5" t="s">
        <v>123</v>
      </c>
      <c r="N12" s="3" t="s">
        <v>64</v>
      </c>
      <c r="O12" s="6">
        <v>20645</v>
      </c>
      <c r="P12" s="6">
        <v>20745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46161.52083333333</v>
      </c>
      <c r="W12" s="9">
        <f>V12-U12</f>
      </c>
      <c r="X12" s="10">
        <v>0.125</v>
      </c>
      <c r="Y12" s="9">
        <f>IF(W12-X12&lt;0,"00:00:00",W12-X12)</f>
      </c>
      <c r="Z12" s="11">
        <v>145</v>
      </c>
      <c r="AA12" s="11">
        <v>6.9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0</v>
      </c>
      <c r="AG12" s="12">
        <f>SUM(AB12:AF12)</f>
      </c>
      <c r="AH12" s="3"/>
      <c r="AI12" s="3"/>
      <c r="AJ12" s="3"/>
      <c r="AK12" s="3"/>
      <c r="AL12" s="3"/>
    </row>
    <row r="13" ht="18" customHeight="1" spans="1:38" x14ac:dyDescent="0.25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116</v>
      </c>
      <c r="F13" s="3" t="s">
        <v>124</v>
      </c>
      <c r="G13" s="3" t="s">
        <v>118</v>
      </c>
      <c r="H13" s="3" t="s">
        <v>125</v>
      </c>
      <c r="I13" s="3" t="s">
        <v>126</v>
      </c>
      <c r="J13" s="3" t="s">
        <v>121</v>
      </c>
      <c r="K13" s="5" t="s">
        <v>122</v>
      </c>
      <c r="L13" s="5" t="s">
        <v>64</v>
      </c>
      <c r="M13" s="5" t="s">
        <v>123</v>
      </c>
      <c r="N13" s="3" t="s">
        <v>64</v>
      </c>
      <c r="O13" s="6">
        <v>124526</v>
      </c>
      <c r="P13" s="6">
        <v>124626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46161.52083333333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6.9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</row>
    <row r="14" ht="18" customHeight="1" spans="1:38" x14ac:dyDescent="0.25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116</v>
      </c>
      <c r="F14" s="3" t="s">
        <v>127</v>
      </c>
      <c r="G14" s="3" t="s">
        <v>118</v>
      </c>
      <c r="H14" s="3" t="s">
        <v>128</v>
      </c>
      <c r="I14" s="3" t="s">
        <v>129</v>
      </c>
      <c r="J14" s="3" t="s">
        <v>121</v>
      </c>
      <c r="K14" s="5" t="s">
        <v>122</v>
      </c>
      <c r="L14" s="5" t="s">
        <v>64</v>
      </c>
      <c r="M14" s="5" t="s">
        <v>123</v>
      </c>
      <c r="N14" s="3" t="s">
        <v>64</v>
      </c>
      <c r="O14" s="6">
        <v>97761</v>
      </c>
      <c r="P14" s="6">
        <v>97861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46161.52083333333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</row>
    <row r="15" ht="18" customHeight="1" spans="1:38" x14ac:dyDescent="0.25">
      <c r="A15" s="3" t="s">
        <v>37</v>
      </c>
      <c r="B15" s="3" t="s">
        <v>38</v>
      </c>
      <c r="C15" s="3" t="s">
        <v>39</v>
      </c>
      <c r="D15" s="3" t="s">
        <v>40</v>
      </c>
      <c r="E15" s="3" t="s">
        <v>116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5" t="s">
        <v>108</v>
      </c>
      <c r="L15" s="5" t="s">
        <v>64</v>
      </c>
      <c r="M15" s="5" t="s">
        <v>135</v>
      </c>
      <c r="N15" s="3" t="s">
        <v>64</v>
      </c>
      <c r="O15" s="6">
        <v>29581</v>
      </c>
      <c r="P15" s="6">
        <v>29581</v>
      </c>
      <c r="Q15" s="6">
        <f>P15-O15</f>
      </c>
      <c r="R15" s="7">
        <v>0</v>
      </c>
      <c r="S15" s="6">
        <f>IF(Q15-R15&lt;0,"0",Q15-R15)</f>
      </c>
      <c r="T15" s="6">
        <v>0</v>
      </c>
      <c r="U15" s="8">
        <v>46161.5</v>
      </c>
      <c r="V15" s="8">
        <v>46161.5</v>
      </c>
      <c r="W15" s="9">
        <f>V15-U15</f>
      </c>
      <c r="X15" s="10">
        <v>0</v>
      </c>
      <c r="Y15" s="9">
        <f>IF(W15-X15&lt;0,"00:00:00",W15-X15)</f>
      </c>
      <c r="Z15" s="11">
        <v>0</v>
      </c>
      <c r="AA15" s="11">
        <v>0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</row>
    <row r="16" ht="18" customHeight="1" spans="1:38" x14ac:dyDescent="0.25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116</v>
      </c>
      <c r="F16" s="3" t="s">
        <v>136</v>
      </c>
      <c r="G16" s="3" t="s">
        <v>137</v>
      </c>
      <c r="H16" s="3" t="s">
        <v>138</v>
      </c>
      <c r="I16" s="3" t="s">
        <v>139</v>
      </c>
      <c r="J16" s="3" t="s">
        <v>140</v>
      </c>
      <c r="K16" s="5" t="s">
        <v>108</v>
      </c>
      <c r="L16" s="5" t="s">
        <v>64</v>
      </c>
      <c r="M16" s="5" t="s">
        <v>135</v>
      </c>
      <c r="N16" s="3" t="s">
        <v>64</v>
      </c>
      <c r="O16" s="6">
        <v>539287</v>
      </c>
      <c r="P16" s="6">
        <v>539387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46161.725694444445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690.0000000000001</v>
      </c>
      <c r="AF16" s="12">
        <v>5.9</v>
      </c>
      <c r="AG16" s="12">
        <f>SUM(AB16:AF16)</f>
      </c>
      <c r="AH16" s="3"/>
      <c r="AI16" s="3"/>
      <c r="AJ16" s="3"/>
      <c r="AK16" s="3"/>
      <c r="AL16" s="3"/>
    </row>
    <row r="17" ht="18" customHeight="1" spans="1:38" x14ac:dyDescent="0.25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141</v>
      </c>
      <c r="F17" s="3" t="s">
        <v>142</v>
      </c>
      <c r="G17" s="3" t="s">
        <v>143</v>
      </c>
      <c r="H17" s="3" t="s">
        <v>144</v>
      </c>
      <c r="I17" s="3" t="s">
        <v>145</v>
      </c>
      <c r="J17" s="3" t="s">
        <v>146</v>
      </c>
      <c r="K17" s="5" t="s">
        <v>147</v>
      </c>
      <c r="L17" s="5" t="s">
        <v>115</v>
      </c>
      <c r="M17" s="5" t="s">
        <v>65</v>
      </c>
      <c r="N17" s="4" t="s">
        <v>46</v>
      </c>
      <c r="O17" s="6">
        <v>142359</v>
      </c>
      <c r="P17" s="6">
        <v>142486</v>
      </c>
      <c r="Q17" s="6">
        <f>P17-O17</f>
      </c>
      <c r="R17" s="7">
        <v>100</v>
      </c>
      <c r="S17" s="6">
        <f>IF(Q17-R17&lt;0,"0",Q17-R17)</f>
      </c>
      <c r="T17" s="6">
        <v>0</v>
      </c>
      <c r="U17" s="8">
        <v>46162.39583333333</v>
      </c>
      <c r="V17" s="8">
        <v>46162.59861111111</v>
      </c>
      <c r="W17" s="9">
        <f>V17-U17</f>
      </c>
      <c r="X17" s="10">
        <v>0.125</v>
      </c>
      <c r="Y17" s="9">
        <f>IF(W17-X17&lt;0,"00:00:00",W17-X17)</f>
      </c>
      <c r="Z17" s="11">
        <v>145</v>
      </c>
      <c r="AA17" s="11">
        <v>6.9</v>
      </c>
      <c r="AB17" s="12">
        <f>Y17*Z17*24</f>
      </c>
      <c r="AC17" s="12">
        <f>S17*AA17</f>
      </c>
      <c r="AD17" s="12">
        <f>T17*AA17</f>
      </c>
      <c r="AE17" s="11">
        <v>690</v>
      </c>
      <c r="AF17" s="12">
        <v>25</v>
      </c>
      <c r="AG17" s="12">
        <f>SUM(AB17:AF17)</f>
      </c>
      <c r="AH17" s="3"/>
      <c r="AI17" s="3"/>
      <c r="AJ17" s="3"/>
      <c r="AK17" s="3"/>
      <c r="AL17" s="3"/>
    </row>
    <row r="18" ht="18" customHeight="1" spans="1:38" x14ac:dyDescent="0.2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45</v>
      </c>
      <c r="J18" s="3" t="s">
        <v>152</v>
      </c>
      <c r="K18" s="5" t="s">
        <v>153</v>
      </c>
      <c r="L18" s="5" t="s">
        <v>48</v>
      </c>
      <c r="M18" s="5" t="s">
        <v>154</v>
      </c>
      <c r="N18" s="3" t="s">
        <v>64</v>
      </c>
      <c r="O18" s="6">
        <v>298135</v>
      </c>
      <c r="P18" s="6">
        <v>298748</v>
      </c>
      <c r="Q18" s="6">
        <f>P18-O18</f>
      </c>
      <c r="R18" s="7">
        <v>600</v>
      </c>
      <c r="S18" s="6">
        <f>IF(Q18-R18&lt;0,"0",Q18-R18)</f>
      </c>
      <c r="T18" s="6">
        <v>0</v>
      </c>
      <c r="U18" s="8">
        <v>46161.72916666667</v>
      </c>
      <c r="V18" s="8">
        <v>46162.535416666666</v>
      </c>
      <c r="W18" s="9">
        <f>V18-U18</f>
      </c>
      <c r="X18" s="10">
        <v>0.625</v>
      </c>
      <c r="Y18" s="9">
        <f>IF(W18-X18&lt;0,"00:00:00",W18-X18)</f>
      </c>
      <c r="Z18" s="11">
        <v>145</v>
      </c>
      <c r="AA18" s="11">
        <v>7.35</v>
      </c>
      <c r="AB18" s="12">
        <f>Y18*Z18*24</f>
      </c>
      <c r="AC18" s="12">
        <f>S18*AA18</f>
      </c>
      <c r="AD18" s="12">
        <f>T18*AA18</f>
      </c>
      <c r="AE18" s="11">
        <v>4410</v>
      </c>
      <c r="AF18" s="12">
        <v>53.7</v>
      </c>
      <c r="AG18" s="12">
        <f>SUM(AB18:AF18)</f>
      </c>
      <c r="AH18" s="3"/>
      <c r="AI18" s="3"/>
      <c r="AJ18" s="3"/>
      <c r="AK18" s="3"/>
      <c r="AL18" s="3"/>
    </row>
    <row r="19" ht="18" customHeight="1" spans="1:38" x14ac:dyDescent="0.25">
      <c r="A19" s="3" t="s">
        <v>37</v>
      </c>
      <c r="B19" s="3" t="s">
        <v>38</v>
      </c>
      <c r="C19" s="3" t="s">
        <v>39</v>
      </c>
      <c r="D19" s="3" t="s">
        <v>40</v>
      </c>
      <c r="E19" s="3" t="s">
        <v>116</v>
      </c>
      <c r="F19" s="3" t="s">
        <v>155</v>
      </c>
      <c r="G19" s="3" t="s">
        <v>156</v>
      </c>
      <c r="H19" s="3" t="s">
        <v>157</v>
      </c>
      <c r="I19" s="3" t="s">
        <v>61</v>
      </c>
      <c r="J19" s="3" t="s">
        <v>158</v>
      </c>
      <c r="K19" s="5" t="s">
        <v>159</v>
      </c>
      <c r="L19" s="5" t="s">
        <v>64</v>
      </c>
      <c r="M19" s="5" t="s">
        <v>160</v>
      </c>
      <c r="N19" s="3" t="s">
        <v>161</v>
      </c>
      <c r="O19" s="6">
        <v>15059</v>
      </c>
      <c r="P19" s="6">
        <v>17859</v>
      </c>
      <c r="Q19" s="6">
        <f>P19-O19</f>
      </c>
      <c r="R19" s="7">
        <v>2800</v>
      </c>
      <c r="S19" s="6">
        <f>IF(Q19-R19&lt;0,"0",Q19-R19)</f>
      </c>
      <c r="T19" s="6">
        <v>0</v>
      </c>
      <c r="U19" s="8">
        <v>46161.75</v>
      </c>
      <c r="V19" s="8">
        <v>46168.35833333334</v>
      </c>
      <c r="W19" s="9">
        <f>V19-U19</f>
      </c>
      <c r="X19" s="10">
        <v>2.9166666666666665</v>
      </c>
      <c r="Y19" s="9">
        <f>IF(W19-X19&lt;0,"00:00:00",W19-X19)</f>
      </c>
      <c r="Z19" s="11">
        <v>145</v>
      </c>
      <c r="AA19" s="11">
        <v>6.9</v>
      </c>
      <c r="AB19" s="12">
        <f>Y19*Z19*24</f>
      </c>
      <c r="AC19" s="12">
        <f>S19*AA19</f>
      </c>
      <c r="AD19" s="12">
        <f>T19*AA19</f>
      </c>
      <c r="AE19" s="11">
        <v>19320</v>
      </c>
      <c r="AF19" s="12">
        <v>150.9</v>
      </c>
      <c r="AG19" s="12">
        <f>SUM(AB19:AF19)</f>
      </c>
      <c r="AH19" s="3"/>
      <c r="AI19" s="3"/>
      <c r="AJ19" s="3"/>
      <c r="AK19" s="3"/>
      <c r="AL19" s="3"/>
    </row>
    <row r="20" ht="18" customHeight="1" spans="1:38" x14ac:dyDescent="0.25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116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5" t="s">
        <v>167</v>
      </c>
      <c r="L20" s="5" t="s">
        <v>64</v>
      </c>
      <c r="M20" s="5" t="s">
        <v>168</v>
      </c>
      <c r="N20" s="4" t="s">
        <v>46</v>
      </c>
      <c r="O20" s="6">
        <v>346971</v>
      </c>
      <c r="P20" s="6">
        <v>347071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46162.82291666667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</row>
    <row r="21" ht="18" customHeight="1" spans="1:38" x14ac:dyDescent="0.25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57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5" t="s">
        <v>75</v>
      </c>
      <c r="L21" s="5" t="s">
        <v>64</v>
      </c>
      <c r="M21" s="5" t="s">
        <v>65</v>
      </c>
      <c r="N21" s="4" t="s">
        <v>46</v>
      </c>
      <c r="O21" s="6">
        <v>34016</v>
      </c>
      <c r="P21" s="6">
        <v>34125</v>
      </c>
      <c r="Q21" s="6">
        <f>P21-O21</f>
      </c>
      <c r="R21" s="7">
        <v>100</v>
      </c>
      <c r="S21" s="6">
        <f>IF(Q21-R21&lt;0,"0",Q21-R21)</f>
      </c>
      <c r="T21" s="6">
        <v>0</v>
      </c>
      <c r="U21" s="8">
        <v>46162.375</v>
      </c>
      <c r="V21" s="8">
        <v>46162.51527777778</v>
      </c>
      <c r="W21" s="9">
        <f>V21-U21</f>
      </c>
      <c r="X21" s="10">
        <v>0.125</v>
      </c>
      <c r="Y21" s="9">
        <f>IF(W21-X21&lt;0,"00:00:00",W21-X21)</f>
      </c>
      <c r="Z21" s="11">
        <v>145</v>
      </c>
      <c r="AA21" s="11">
        <v>6.9</v>
      </c>
      <c r="AB21" s="12">
        <f>Y21*Z21*24</f>
      </c>
      <c r="AC21" s="12">
        <f>S21*AA21</f>
      </c>
      <c r="AD21" s="12">
        <f>T21*AA21</f>
      </c>
      <c r="AE21" s="11">
        <v>690</v>
      </c>
      <c r="AF21" s="12">
        <v>25</v>
      </c>
      <c r="AG21" s="12">
        <f>SUM(AB21:AF21)</f>
      </c>
      <c r="AH21" s="3"/>
      <c r="AI21" s="3"/>
      <c r="AJ21" s="3"/>
      <c r="AK21" s="3"/>
      <c r="AL21" s="3"/>
    </row>
    <row r="22" ht="18" customHeight="1" spans="1:38" x14ac:dyDescent="0.25">
      <c r="A22" s="3" t="s">
        <v>37</v>
      </c>
      <c r="B22" s="3" t="s">
        <v>38</v>
      </c>
      <c r="C22" s="3" t="s">
        <v>39</v>
      </c>
      <c r="D22" s="3" t="s">
        <v>40</v>
      </c>
      <c r="E22" s="3" t="s">
        <v>116</v>
      </c>
      <c r="F22" s="3" t="s">
        <v>174</v>
      </c>
      <c r="G22" s="3" t="s">
        <v>175</v>
      </c>
      <c r="H22" s="3" t="s">
        <v>176</v>
      </c>
      <c r="I22" s="3" t="s">
        <v>177</v>
      </c>
      <c r="J22" s="3" t="s">
        <v>178</v>
      </c>
      <c r="K22" s="5" t="s">
        <v>179</v>
      </c>
      <c r="L22" s="5" t="s">
        <v>64</v>
      </c>
      <c r="M22" s="5" t="s">
        <v>180</v>
      </c>
      <c r="N22" s="3" t="s">
        <v>64</v>
      </c>
      <c r="O22" s="6">
        <v>27261</v>
      </c>
      <c r="P22" s="6">
        <v>27361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46162.429861111115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689.9999999999999</v>
      </c>
      <c r="AF22" s="12">
        <v>13.6</v>
      </c>
      <c r="AG22" s="12">
        <f>SUM(AB22:AF22)</f>
      </c>
      <c r="AH22" s="3"/>
      <c r="AI22" s="3"/>
      <c r="AJ22" s="3"/>
      <c r="AK22" s="3"/>
      <c r="AL22" s="3"/>
    </row>
    <row r="23" ht="18" customHeight="1" spans="1:38" x14ac:dyDescent="0.25">
      <c r="A23" s="3" t="s">
        <v>37</v>
      </c>
      <c r="B23" s="3" t="s">
        <v>38</v>
      </c>
      <c r="C23" s="3" t="s">
        <v>39</v>
      </c>
      <c r="D23" s="3" t="s">
        <v>40</v>
      </c>
      <c r="E23" s="3" t="s">
        <v>116</v>
      </c>
      <c r="F23" s="3" t="s">
        <v>181</v>
      </c>
      <c r="G23" s="3" t="s">
        <v>182</v>
      </c>
      <c r="H23" s="3" t="s">
        <v>183</v>
      </c>
      <c r="I23" s="3" t="s">
        <v>133</v>
      </c>
      <c r="J23" s="3" t="s">
        <v>107</v>
      </c>
      <c r="K23" s="5" t="s">
        <v>179</v>
      </c>
      <c r="L23" s="5" t="s">
        <v>64</v>
      </c>
      <c r="M23" s="5" t="s">
        <v>122</v>
      </c>
      <c r="N23" s="3" t="s">
        <v>64</v>
      </c>
      <c r="O23" s="6">
        <v>29775</v>
      </c>
      <c r="P23" s="6">
        <v>29875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46161.95833333333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</row>
    <row r="24" ht="18" customHeight="1" spans="1:38" x14ac:dyDescent="0.25">
      <c r="A24" s="3" t="s">
        <v>37</v>
      </c>
      <c r="B24" s="3" t="s">
        <v>38</v>
      </c>
      <c r="C24" s="3" t="s">
        <v>39</v>
      </c>
      <c r="D24" s="3" t="s">
        <v>40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188</v>
      </c>
      <c r="J24" s="3" t="s">
        <v>189</v>
      </c>
      <c r="K24" s="5" t="s">
        <v>108</v>
      </c>
      <c r="L24" s="5" t="s">
        <v>64</v>
      </c>
      <c r="M24" s="5" t="s">
        <v>190</v>
      </c>
      <c r="N24" s="3" t="s">
        <v>92</v>
      </c>
      <c r="O24" s="6">
        <v>197811</v>
      </c>
      <c r="P24" s="6">
        <v>198711</v>
      </c>
      <c r="Q24" s="6">
        <f>P24-O24</f>
      </c>
      <c r="R24" s="7">
        <v>900</v>
      </c>
      <c r="S24" s="6">
        <f>IF(Q24-R24&lt;0,"0",Q24-R24)</f>
      </c>
      <c r="T24" s="6">
        <v>0</v>
      </c>
      <c r="U24" s="8">
        <v>46162.29166666667</v>
      </c>
      <c r="V24" s="8">
        <v>46164.34513888889</v>
      </c>
      <c r="W24" s="9">
        <f>V24-U24</f>
      </c>
      <c r="X24" s="10">
        <v>0.9583333333333334</v>
      </c>
      <c r="Y24" s="9">
        <f>IF(W24-X24&lt;0,"00:00:00",W24-X24)</f>
      </c>
      <c r="Z24" s="11">
        <v>145</v>
      </c>
      <c r="AA24" s="11">
        <v>6.9</v>
      </c>
      <c r="AB24" s="12">
        <f>Y24*Z24*24</f>
      </c>
      <c r="AC24" s="12">
        <f>S24*AA24</f>
      </c>
      <c r="AD24" s="12">
        <f>T24*AA24</f>
      </c>
      <c r="AE24" s="11">
        <v>6209.999999999999</v>
      </c>
      <c r="AF24" s="12">
        <v>85.3</v>
      </c>
      <c r="AG24" s="12">
        <f>SUM(AB24:AF24)</f>
      </c>
      <c r="AH24" s="3"/>
      <c r="AI24" s="3"/>
      <c r="AJ24" s="3"/>
      <c r="AK24" s="3"/>
      <c r="AL24" s="3"/>
    </row>
    <row r="25" ht="18" customHeight="1" spans="1:38" x14ac:dyDescent="0.25">
      <c r="A25" s="3" t="s">
        <v>37</v>
      </c>
      <c r="B25" s="3" t="s">
        <v>38</v>
      </c>
      <c r="C25" s="3" t="s">
        <v>39</v>
      </c>
      <c r="D25" s="3" t="s">
        <v>40</v>
      </c>
      <c r="E25" s="3" t="s">
        <v>57</v>
      </c>
      <c r="F25" s="3" t="s">
        <v>191</v>
      </c>
      <c r="G25" s="3" t="s">
        <v>192</v>
      </c>
      <c r="H25" s="3" t="s">
        <v>193</v>
      </c>
      <c r="I25" s="3" t="s">
        <v>194</v>
      </c>
      <c r="J25" s="3" t="s">
        <v>195</v>
      </c>
      <c r="K25" s="5" t="s">
        <v>75</v>
      </c>
      <c r="L25" s="5" t="s">
        <v>64</v>
      </c>
      <c r="M25" s="5" t="s">
        <v>65</v>
      </c>
      <c r="N25" s="4" t="s">
        <v>46</v>
      </c>
      <c r="O25" s="6">
        <v>46497</v>
      </c>
      <c r="P25" s="6">
        <v>46697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46162.125</v>
      </c>
      <c r="W25" s="9">
        <f>V25-U25</f>
      </c>
      <c r="X25" s="10">
        <v>0.20833333333333334</v>
      </c>
      <c r="Y25" s="9">
        <f>IF(W25-X25&lt;0,"00:00:00",W25-X25)</f>
      </c>
      <c r="Z25" s="11">
        <v>145</v>
      </c>
      <c r="AA25" s="11">
        <v>6.9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</row>
    <row r="26" ht="18" customHeight="1" spans="1:38" x14ac:dyDescent="0.25">
      <c r="A26" s="3" t="s">
        <v>37</v>
      </c>
      <c r="B26" s="3" t="s">
        <v>38</v>
      </c>
      <c r="C26" s="3" t="s">
        <v>39</v>
      </c>
      <c r="D26" s="3" t="s">
        <v>40</v>
      </c>
      <c r="E26" s="3" t="s">
        <v>184</v>
      </c>
      <c r="F26" s="3" t="s">
        <v>196</v>
      </c>
      <c r="G26" s="3" t="s">
        <v>197</v>
      </c>
      <c r="H26" s="3" t="s">
        <v>198</v>
      </c>
      <c r="I26" s="3" t="s">
        <v>199</v>
      </c>
      <c r="J26" s="3" t="s">
        <v>200</v>
      </c>
      <c r="K26" s="5" t="s">
        <v>108</v>
      </c>
      <c r="L26" s="5" t="s">
        <v>64</v>
      </c>
      <c r="M26" s="5" t="s">
        <v>190</v>
      </c>
      <c r="N26" s="3" t="s">
        <v>92</v>
      </c>
      <c r="O26" s="6">
        <v>421294</v>
      </c>
      <c r="P26" s="6">
        <v>422194</v>
      </c>
      <c r="Q26" s="6">
        <f>P26-O26</f>
      </c>
      <c r="R26" s="7">
        <v>900</v>
      </c>
      <c r="S26" s="6">
        <f>IF(Q26-R26&lt;0,"0",Q26-R26)</f>
      </c>
      <c r="T26" s="6">
        <v>0</v>
      </c>
      <c r="U26" s="8">
        <v>46162.20833333333</v>
      </c>
      <c r="V26" s="8">
        <v>46164.34583333333</v>
      </c>
      <c r="W26" s="9">
        <f>V26-U26</f>
      </c>
      <c r="X26" s="10">
        <v>0.9583333333333334</v>
      </c>
      <c r="Y26" s="9">
        <f>IF(W26-X26&lt;0,"00:00:00",W26-X26)</f>
      </c>
      <c r="Z26" s="11">
        <v>145</v>
      </c>
      <c r="AA26" s="11">
        <v>6.9</v>
      </c>
      <c r="AB26" s="12">
        <f>Y26*Z26*24</f>
      </c>
      <c r="AC26" s="12">
        <f>S26*AA26</f>
      </c>
      <c r="AD26" s="12">
        <f>T26*AA26</f>
      </c>
      <c r="AE26" s="11">
        <v>6209.999999999999</v>
      </c>
      <c r="AF26" s="12">
        <v>85.3</v>
      </c>
      <c r="AG26" s="12">
        <f>SUM(AB26:AF26)</f>
      </c>
      <c r="AH26" s="3"/>
      <c r="AI26" s="3"/>
      <c r="AJ26" s="3"/>
      <c r="AK26" s="3"/>
      <c r="AL26" s="3"/>
    </row>
    <row r="27" ht="18" customHeight="1" spans="1:38" x14ac:dyDescent="0.25">
      <c r="A27" s="3" t="s">
        <v>37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201</v>
      </c>
      <c r="G27" s="3" t="s">
        <v>202</v>
      </c>
      <c r="H27" s="3" t="s">
        <v>203</v>
      </c>
      <c r="I27" s="3" t="s">
        <v>204</v>
      </c>
      <c r="J27" s="3" t="s">
        <v>205</v>
      </c>
      <c r="K27" s="5" t="s">
        <v>47</v>
      </c>
      <c r="L27" s="5" t="s">
        <v>48</v>
      </c>
      <c r="M27" s="5" t="s">
        <v>47</v>
      </c>
      <c r="N27" s="3" t="s">
        <v>48</v>
      </c>
      <c r="O27" s="6">
        <v>2595</v>
      </c>
      <c r="P27" s="6">
        <v>2695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747.08</v>
      </c>
      <c r="AF27" s="12">
        <v>0</v>
      </c>
      <c r="AG27" s="12">
        <f>SUM(AB27:AF27)</f>
      </c>
      <c r="AH27" s="3"/>
      <c r="AI27" s="3"/>
      <c r="AJ27" s="3"/>
      <c r="AK27" s="3"/>
      <c r="AL27" s="3"/>
    </row>
    <row r="28" ht="18" customHeight="1" spans="1:38" x14ac:dyDescent="0.25">
      <c r="A28" s="3" t="s">
        <v>37</v>
      </c>
      <c r="B28" s="3" t="s">
        <v>38</v>
      </c>
      <c r="C28" s="3" t="s">
        <v>39</v>
      </c>
      <c r="D28" s="3" t="s">
        <v>40</v>
      </c>
      <c r="E28" s="3" t="s">
        <v>206</v>
      </c>
      <c r="F28" s="3" t="s">
        <v>207</v>
      </c>
      <c r="G28" s="3" t="s">
        <v>208</v>
      </c>
      <c r="H28" s="3" t="s">
        <v>209</v>
      </c>
      <c r="I28" s="3" t="s">
        <v>210</v>
      </c>
      <c r="J28" s="4" t="s">
        <v>46</v>
      </c>
      <c r="K28" s="5" t="s">
        <v>159</v>
      </c>
      <c r="L28" s="5" t="s">
        <v>64</v>
      </c>
      <c r="M28" s="5" t="s">
        <v>211</v>
      </c>
      <c r="N28" s="4" t="s">
        <v>46</v>
      </c>
      <c r="O28" s="6">
        <v>108612</v>
      </c>
      <c r="P28" s="6">
        <v>108712</v>
      </c>
      <c r="Q28" s="6">
        <f>P28-O28</f>
      </c>
      <c r="R28" s="7">
        <v>100</v>
      </c>
      <c r="S28" s="6">
        <f>IF(Q28-R28&lt;0,"0",Q28-R28)</f>
      </c>
      <c r="T28" s="6">
        <v>0</v>
      </c>
      <c r="U28" s="8">
        <v>46162.14583333333</v>
      </c>
      <c r="V28" s="8">
        <v>46162.27083333333</v>
      </c>
      <c r="W28" s="9">
        <f>V28-U28</f>
      </c>
      <c r="X28" s="10">
        <v>0.125</v>
      </c>
      <c r="Y28" s="9">
        <f>IF(W28-X28&lt;0,"00:00:00",W28-X28)</f>
      </c>
      <c r="Z28" s="11">
        <v>145</v>
      </c>
      <c r="AA28" s="11">
        <v>6.9</v>
      </c>
      <c r="AB28" s="12">
        <f>Y28*Z28*24</f>
      </c>
      <c r="AC28" s="12">
        <f>S28*AA28</f>
      </c>
      <c r="AD28" s="12">
        <f>T28*AA28</f>
      </c>
      <c r="AE28" s="11">
        <v>690</v>
      </c>
      <c r="AF28" s="12">
        <v>13.7</v>
      </c>
      <c r="AG28" s="12">
        <f>SUM(AB28:AF28)</f>
      </c>
      <c r="AH28" s="3"/>
      <c r="AI28" s="3"/>
      <c r="AJ28" s="3"/>
      <c r="AK28" s="3"/>
      <c r="AL28" s="3"/>
    </row>
    <row r="29" ht="18" customHeight="1" spans="1:38" x14ac:dyDescent="0.25">
      <c r="A29" s="3" t="s">
        <v>37</v>
      </c>
      <c r="B29" s="3" t="s">
        <v>38</v>
      </c>
      <c r="C29" s="3" t="s">
        <v>39</v>
      </c>
      <c r="D29" s="3" t="s">
        <v>40</v>
      </c>
      <c r="E29" s="3" t="s">
        <v>184</v>
      </c>
      <c r="F29" s="3" t="s">
        <v>212</v>
      </c>
      <c r="G29" s="3" t="s">
        <v>213</v>
      </c>
      <c r="H29" s="3" t="s">
        <v>214</v>
      </c>
      <c r="I29" s="3" t="s">
        <v>215</v>
      </c>
      <c r="J29" s="3" t="s">
        <v>216</v>
      </c>
      <c r="K29" s="5" t="s">
        <v>108</v>
      </c>
      <c r="L29" s="5" t="s">
        <v>64</v>
      </c>
      <c r="M29" s="5" t="s">
        <v>190</v>
      </c>
      <c r="N29" s="3" t="s">
        <v>92</v>
      </c>
      <c r="O29" s="6">
        <v>94878</v>
      </c>
      <c r="P29" s="6">
        <v>95778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46163.075694444444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</row>
    <row r="30" ht="18" customHeight="1" spans="1:38" x14ac:dyDescent="0.25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116</v>
      </c>
      <c r="F30" s="3" t="s">
        <v>217</v>
      </c>
      <c r="G30" s="3" t="s">
        <v>218</v>
      </c>
      <c r="H30" s="3" t="s">
        <v>219</v>
      </c>
      <c r="I30" s="3" t="s">
        <v>220</v>
      </c>
      <c r="J30" s="3" t="s">
        <v>221</v>
      </c>
      <c r="K30" s="5" t="s">
        <v>135</v>
      </c>
      <c r="L30" s="5" t="s">
        <v>64</v>
      </c>
      <c r="M30" s="5" t="s">
        <v>222</v>
      </c>
      <c r="N30" s="3" t="s">
        <v>64</v>
      </c>
      <c r="O30" s="6">
        <v>64306</v>
      </c>
      <c r="P30" s="6">
        <v>64406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46162.33333333333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</row>
    <row r="31" ht="18" customHeight="1" spans="1:38" x14ac:dyDescent="0.25">
      <c r="A31" s="3" t="s">
        <v>37</v>
      </c>
      <c r="B31" s="3" t="s">
        <v>38</v>
      </c>
      <c r="C31" s="3" t="s">
        <v>39</v>
      </c>
      <c r="D31" s="3" t="s">
        <v>40</v>
      </c>
      <c r="E31" s="3" t="s">
        <v>94</v>
      </c>
      <c r="F31" s="3" t="s">
        <v>223</v>
      </c>
      <c r="G31" s="3" t="s">
        <v>224</v>
      </c>
      <c r="H31" s="3" t="s">
        <v>225</v>
      </c>
      <c r="I31" s="3" t="s">
        <v>226</v>
      </c>
      <c r="J31" s="3" t="s">
        <v>227</v>
      </c>
      <c r="K31" s="5" t="s">
        <v>100</v>
      </c>
      <c r="L31" s="5" t="s">
        <v>101</v>
      </c>
      <c r="M31" s="5" t="s">
        <v>102</v>
      </c>
      <c r="N31" s="3" t="s">
        <v>101</v>
      </c>
      <c r="O31" s="6">
        <v>250654</v>
      </c>
      <c r="P31" s="6">
        <v>250754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46162.44097222222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7.35</v>
      </c>
      <c r="AB31" s="12">
        <f>Y31*Z31*24</f>
      </c>
      <c r="AC31" s="12">
        <f>S31*AA31</f>
      </c>
      <c r="AD31" s="12">
        <f>T31*AA31</f>
      </c>
      <c r="AE31" s="11">
        <v>674.5899999999999</v>
      </c>
      <c r="AF31" s="12">
        <v>0</v>
      </c>
      <c r="AG31" s="12">
        <f>SUM(AB31:AF31)</f>
      </c>
      <c r="AH31" s="3"/>
      <c r="AI31" s="3"/>
      <c r="AJ31" s="3"/>
      <c r="AK31" s="3"/>
      <c r="AL31" s="3"/>
    </row>
    <row r="32" ht="18" customHeight="1" spans="1:38" x14ac:dyDescent="0.25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228</v>
      </c>
      <c r="F32" s="3" t="s">
        <v>229</v>
      </c>
      <c r="G32" s="3" t="s">
        <v>230</v>
      </c>
      <c r="H32" s="3" t="s">
        <v>231</v>
      </c>
      <c r="I32" s="3" t="s">
        <v>232</v>
      </c>
      <c r="J32" s="3" t="s">
        <v>233</v>
      </c>
      <c r="K32" s="5" t="s">
        <v>234</v>
      </c>
      <c r="L32" s="5" t="s">
        <v>235</v>
      </c>
      <c r="M32" s="5" t="s">
        <v>236</v>
      </c>
      <c r="N32" s="3" t="s">
        <v>235</v>
      </c>
      <c r="O32" s="6">
        <v>85334</v>
      </c>
      <c r="P32" s="6">
        <v>85434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46162.45833333333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</row>
    <row r="33" ht="18" customHeight="1" spans="1:38" x14ac:dyDescent="0.25">
      <c r="A33" s="3" t="s">
        <v>37</v>
      </c>
      <c r="B33" s="3" t="s">
        <v>38</v>
      </c>
      <c r="C33" s="3" t="s">
        <v>39</v>
      </c>
      <c r="D33" s="3" t="s">
        <v>40</v>
      </c>
      <c r="E33" s="3" t="s">
        <v>57</v>
      </c>
      <c r="F33" s="3" t="s">
        <v>237</v>
      </c>
      <c r="G33" s="3" t="s">
        <v>238</v>
      </c>
      <c r="H33" s="3" t="s">
        <v>239</v>
      </c>
      <c r="I33" s="3" t="s">
        <v>240</v>
      </c>
      <c r="J33" s="3" t="s">
        <v>241</v>
      </c>
      <c r="K33" s="5" t="s">
        <v>63</v>
      </c>
      <c r="L33" s="5" t="s">
        <v>64</v>
      </c>
      <c r="M33" s="5" t="s">
        <v>65</v>
      </c>
      <c r="N33" s="4" t="s">
        <v>46</v>
      </c>
      <c r="O33" s="6">
        <v>498198</v>
      </c>
      <c r="P33" s="6">
        <v>498398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46162.59375</v>
      </c>
      <c r="W33" s="9">
        <f>V33-U33</f>
      </c>
      <c r="X33" s="10">
        <v>0.20833333333333334</v>
      </c>
      <c r="Y33" s="9">
        <f>IF(W33-X33&lt;0,"00:00:00",W33-X33)</f>
      </c>
      <c r="Z33" s="11">
        <v>145</v>
      </c>
      <c r="AA33" s="11">
        <v>6.9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</row>
    <row r="34" ht="18" customHeight="1" spans="1:38" x14ac:dyDescent="0.25">
      <c r="A34" s="3" t="s">
        <v>37</v>
      </c>
      <c r="B34" s="3" t="s">
        <v>38</v>
      </c>
      <c r="C34" s="3" t="s">
        <v>39</v>
      </c>
      <c r="D34" s="3" t="s">
        <v>40</v>
      </c>
      <c r="E34" s="3" t="s">
        <v>206</v>
      </c>
      <c r="F34" s="3" t="s">
        <v>242</v>
      </c>
      <c r="G34" s="3" t="s">
        <v>243</v>
      </c>
      <c r="H34" s="3" t="s">
        <v>244</v>
      </c>
      <c r="I34" s="3" t="s">
        <v>245</v>
      </c>
      <c r="J34" s="3" t="s">
        <v>246</v>
      </c>
      <c r="K34" s="5" t="s">
        <v>108</v>
      </c>
      <c r="L34" s="5" t="s">
        <v>64</v>
      </c>
      <c r="M34" s="5" t="s">
        <v>211</v>
      </c>
      <c r="N34" s="4" t="s">
        <v>46</v>
      </c>
      <c r="O34" s="6">
        <v>30412</v>
      </c>
      <c r="P34" s="6">
        <v>30512</v>
      </c>
      <c r="Q34" s="6">
        <f>P34-O34</f>
      </c>
      <c r="R34" s="7">
        <v>100</v>
      </c>
      <c r="S34" s="6">
        <f>IF(Q34-R34&lt;0,"0",Q34-R34)</f>
      </c>
      <c r="T34" s="6">
        <v>0</v>
      </c>
      <c r="U34" s="8">
        <v>46162.381944444445</v>
      </c>
      <c r="V34" s="8">
        <v>46162.506944444445</v>
      </c>
      <c r="W34" s="9">
        <f>V34-U34</f>
      </c>
      <c r="X34" s="10">
        <v>0.125</v>
      </c>
      <c r="Y34" s="9">
        <f>IF(W34-X34&lt;0,"00:00:00",W34-X34)</f>
      </c>
      <c r="Z34" s="11">
        <v>145</v>
      </c>
      <c r="AA34" s="11">
        <v>6.9</v>
      </c>
      <c r="AB34" s="12">
        <f>Y34*Z34*24</f>
      </c>
      <c r="AC34" s="12">
        <f>S34*AA34</f>
      </c>
      <c r="AD34" s="12">
        <f>T34*AA34</f>
      </c>
      <c r="AE34" s="11">
        <v>690</v>
      </c>
      <c r="AF34" s="12">
        <v>0</v>
      </c>
      <c r="AG34" s="12">
        <f>SUM(AB34:AF34)</f>
      </c>
      <c r="AH34" s="3"/>
      <c r="AI34" s="3"/>
      <c r="AJ34" s="3"/>
      <c r="AK34" s="3"/>
      <c r="AL34" s="3"/>
    </row>
    <row r="35" ht="18" customHeight="1" spans="1:38" x14ac:dyDescent="0.25">
      <c r="A35" s="3" t="s">
        <v>37</v>
      </c>
      <c r="B35" s="3" t="s">
        <v>38</v>
      </c>
      <c r="C35" s="3" t="s">
        <v>39</v>
      </c>
      <c r="D35" s="3" t="s">
        <v>40</v>
      </c>
      <c r="E35" s="3" t="s">
        <v>184</v>
      </c>
      <c r="F35" s="3" t="s">
        <v>247</v>
      </c>
      <c r="G35" s="3" t="s">
        <v>248</v>
      </c>
      <c r="H35" s="3" t="s">
        <v>249</v>
      </c>
      <c r="I35" s="3" t="s">
        <v>250</v>
      </c>
      <c r="J35" s="3" t="s">
        <v>251</v>
      </c>
      <c r="K35" s="5" t="s">
        <v>159</v>
      </c>
      <c r="L35" s="5" t="s">
        <v>64</v>
      </c>
      <c r="M35" s="5" t="s">
        <v>252</v>
      </c>
      <c r="N35" s="3" t="s">
        <v>92</v>
      </c>
      <c r="O35" s="6">
        <v>3454</v>
      </c>
      <c r="P35" s="6">
        <v>4354</v>
      </c>
      <c r="Q35" s="6">
        <f>P35-O35</f>
      </c>
      <c r="R35" s="7">
        <v>900</v>
      </c>
      <c r="S35" s="6">
        <f>IF(Q35-R35&lt;0,"0",Q35-R35)</f>
      </c>
      <c r="T35" s="6">
        <v>0</v>
      </c>
      <c r="U35" s="8">
        <v>46163.16666666667</v>
      </c>
      <c r="V35" s="8">
        <v>46164.51736111111</v>
      </c>
      <c r="W35" s="9">
        <f>V35-U35</f>
      </c>
      <c r="X35" s="10">
        <v>0.9583333333333334</v>
      </c>
      <c r="Y35" s="9">
        <f>IF(W35-X35&lt;0,"00:00:00",W35-X35)</f>
      </c>
      <c r="Z35" s="11">
        <v>145</v>
      </c>
      <c r="AA35" s="11">
        <v>6.9</v>
      </c>
      <c r="AB35" s="12">
        <f>Y35*Z35*24</f>
      </c>
      <c r="AC35" s="12">
        <f>S35*AA35</f>
      </c>
      <c r="AD35" s="12">
        <f>T35*AA35</f>
      </c>
      <c r="AE35" s="11">
        <v>6210</v>
      </c>
      <c r="AF35" s="12">
        <v>85.3</v>
      </c>
      <c r="AG35" s="12">
        <f>SUM(AB35:AF35)</f>
      </c>
      <c r="AH35" s="3"/>
      <c r="AI35" s="3"/>
      <c r="AJ35" s="3"/>
      <c r="AK35" s="3"/>
      <c r="AL35" s="3"/>
    </row>
    <row r="36" ht="18" customHeight="1" spans="1:38" x14ac:dyDescent="0.25">
      <c r="A36" s="3" t="s">
        <v>37</v>
      </c>
      <c r="B36" s="3" t="s">
        <v>38</v>
      </c>
      <c r="C36" s="3" t="s">
        <v>39</v>
      </c>
      <c r="D36" s="3" t="s">
        <v>40</v>
      </c>
      <c r="E36" s="3" t="s">
        <v>253</v>
      </c>
      <c r="F36" s="3" t="s">
        <v>254</v>
      </c>
      <c r="G36" s="3" t="s">
        <v>255</v>
      </c>
      <c r="H36" s="3" t="s">
        <v>256</v>
      </c>
      <c r="I36" s="3" t="s">
        <v>257</v>
      </c>
      <c r="J36" s="3" t="s">
        <v>258</v>
      </c>
      <c r="K36" s="5" t="s">
        <v>259</v>
      </c>
      <c r="L36" s="5" t="s">
        <v>64</v>
      </c>
      <c r="M36" s="5" t="s">
        <v>75</v>
      </c>
      <c r="N36" s="3" t="s">
        <v>64</v>
      </c>
      <c r="O36" s="6">
        <v>80237</v>
      </c>
      <c r="P36" s="6">
        <v>80337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46162.77986111111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</row>
    <row r="37" ht="18" customHeight="1" spans="1:38" x14ac:dyDescent="0.25">
      <c r="A37" s="3" t="s">
        <v>37</v>
      </c>
      <c r="B37" s="3" t="s">
        <v>38</v>
      </c>
      <c r="C37" s="3" t="s">
        <v>39</v>
      </c>
      <c r="D37" s="3" t="s">
        <v>40</v>
      </c>
      <c r="E37" s="3" t="s">
        <v>260</v>
      </c>
      <c r="F37" s="3" t="s">
        <v>261</v>
      </c>
      <c r="G37" s="3" t="s">
        <v>262</v>
      </c>
      <c r="H37" s="3" t="s">
        <v>263</v>
      </c>
      <c r="I37" s="3" t="s">
        <v>264</v>
      </c>
      <c r="J37" s="3" t="s">
        <v>265</v>
      </c>
      <c r="K37" s="5" t="s">
        <v>266</v>
      </c>
      <c r="L37" s="5" t="s">
        <v>92</v>
      </c>
      <c r="M37" s="5" t="s">
        <v>267</v>
      </c>
      <c r="N37" s="3" t="s">
        <v>92</v>
      </c>
      <c r="O37" s="6">
        <v>62696</v>
      </c>
      <c r="P37" s="6">
        <v>62796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46163.5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</row>
    <row r="38" ht="18" customHeight="1" spans="1:38" x14ac:dyDescent="0.25">
      <c r="A38" s="3" t="s">
        <v>37</v>
      </c>
      <c r="B38" s="3" t="s">
        <v>38</v>
      </c>
      <c r="C38" s="3" t="s">
        <v>39</v>
      </c>
      <c r="D38" s="3" t="s">
        <v>40</v>
      </c>
      <c r="E38" s="3" t="s">
        <v>268</v>
      </c>
      <c r="F38" s="3" t="s">
        <v>269</v>
      </c>
      <c r="G38" s="3" t="s">
        <v>270</v>
      </c>
      <c r="H38" s="3" t="s">
        <v>271</v>
      </c>
      <c r="I38" s="3" t="s">
        <v>245</v>
      </c>
      <c r="J38" s="3" t="s">
        <v>272</v>
      </c>
      <c r="K38" s="5" t="s">
        <v>273</v>
      </c>
      <c r="L38" s="5" t="s">
        <v>64</v>
      </c>
      <c r="M38" s="5" t="s">
        <v>274</v>
      </c>
      <c r="N38" s="3" t="s">
        <v>64</v>
      </c>
      <c r="O38" s="6">
        <v>30584</v>
      </c>
      <c r="P38" s="6">
        <v>30684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46162.90277777778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</row>
    <row r="39" ht="18" customHeight="1" spans="1:38" x14ac:dyDescent="0.25">
      <c r="A39" s="3" t="s">
        <v>37</v>
      </c>
      <c r="B39" s="3" t="s">
        <v>38</v>
      </c>
      <c r="C39" s="3" t="s">
        <v>39</v>
      </c>
      <c r="D39" s="3" t="s">
        <v>40</v>
      </c>
      <c r="E39" s="3" t="s">
        <v>268</v>
      </c>
      <c r="F39" s="3" t="s">
        <v>275</v>
      </c>
      <c r="G39" s="3" t="s">
        <v>270</v>
      </c>
      <c r="H39" s="3" t="s">
        <v>276</v>
      </c>
      <c r="I39" s="3" t="s">
        <v>257</v>
      </c>
      <c r="J39" s="3" t="s">
        <v>272</v>
      </c>
      <c r="K39" s="5" t="s">
        <v>273</v>
      </c>
      <c r="L39" s="5" t="s">
        <v>64</v>
      </c>
      <c r="M39" s="5" t="s">
        <v>274</v>
      </c>
      <c r="N39" s="3" t="s">
        <v>64</v>
      </c>
      <c r="O39" s="6">
        <v>80314</v>
      </c>
      <c r="P39" s="6">
        <v>80414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46162.90277777778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</row>
    <row r="40" ht="18" customHeight="1" spans="1:38" x14ac:dyDescent="0.25">
      <c r="A40" s="3" t="s">
        <v>37</v>
      </c>
      <c r="B40" s="3" t="s">
        <v>38</v>
      </c>
      <c r="C40" s="3" t="s">
        <v>39</v>
      </c>
      <c r="D40" s="3" t="s">
        <v>40</v>
      </c>
      <c r="E40" s="3" t="s">
        <v>41</v>
      </c>
      <c r="F40" s="3" t="s">
        <v>277</v>
      </c>
      <c r="G40" s="3" t="s">
        <v>278</v>
      </c>
      <c r="H40" s="3" t="s">
        <v>279</v>
      </c>
      <c r="I40" s="3" t="s">
        <v>280</v>
      </c>
      <c r="J40" s="3" t="s">
        <v>281</v>
      </c>
      <c r="K40" s="5" t="s">
        <v>282</v>
      </c>
      <c r="L40" s="5" t="s">
        <v>48</v>
      </c>
      <c r="M40" s="5" t="s">
        <v>283</v>
      </c>
      <c r="N40" s="3" t="s">
        <v>48</v>
      </c>
      <c r="O40" s="6">
        <v>311961</v>
      </c>
      <c r="P40" s="6">
        <v>312061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46163.4375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</row>
    <row r="41" ht="18" customHeight="1" spans="1:38" x14ac:dyDescent="0.25">
      <c r="A41" s="3" t="s">
        <v>37</v>
      </c>
      <c r="B41" s="3" t="s">
        <v>38</v>
      </c>
      <c r="C41" s="3" t="s">
        <v>39</v>
      </c>
      <c r="D41" s="3" t="s">
        <v>110</v>
      </c>
      <c r="E41" s="3" t="s">
        <v>57</v>
      </c>
      <c r="F41" s="3" t="s">
        <v>284</v>
      </c>
      <c r="G41" s="3" t="s">
        <v>285</v>
      </c>
      <c r="H41" s="3" t="s">
        <v>286</v>
      </c>
      <c r="I41" s="3" t="s">
        <v>257</v>
      </c>
      <c r="J41" s="3" t="s">
        <v>152</v>
      </c>
      <c r="K41" s="5" t="s">
        <v>63</v>
      </c>
      <c r="L41" s="5" t="s">
        <v>64</v>
      </c>
      <c r="M41" s="5" t="s">
        <v>65</v>
      </c>
      <c r="N41" s="4" t="s">
        <v>46</v>
      </c>
      <c r="O41" s="6">
        <v>0</v>
      </c>
      <c r="P41" s="6">
        <v>0</v>
      </c>
      <c r="Q41" s="6">
        <f>P41-O41</f>
      </c>
      <c r="R41" s="7">
        <v>100</v>
      </c>
      <c r="S41" s="6">
        <f>IF(Q41-R41&lt;0,"0",Q41-R41)</f>
      </c>
      <c r="T41" s="6">
        <v>0</v>
      </c>
      <c r="U41" s="8">
        <v>46163.08333333333</v>
      </c>
      <c r="V41" s="8">
        <v>46163.34375</v>
      </c>
      <c r="W41" s="9">
        <f>V41-U41</f>
      </c>
      <c r="X41" s="10">
        <v>0.125</v>
      </c>
      <c r="Y41" s="9">
        <f>IF(W41-X41&lt;0,"00:00:00",W41-X41)</f>
      </c>
      <c r="Z41" s="11">
        <v>145</v>
      </c>
      <c r="AA41" s="11">
        <v>6.9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0</v>
      </c>
      <c r="AG41" s="12">
        <f>SUM(AB41:AF41)</f>
      </c>
      <c r="AH41" s="3"/>
      <c r="AI41" s="3"/>
      <c r="AJ41" s="3"/>
      <c r="AK41" s="3"/>
      <c r="AL41" s="3"/>
    </row>
    <row r="42" ht="18" customHeight="1" spans="1:38" x14ac:dyDescent="0.25">
      <c r="A42" s="3" t="s">
        <v>37</v>
      </c>
      <c r="B42" s="3" t="s">
        <v>38</v>
      </c>
      <c r="C42" s="3" t="s">
        <v>39</v>
      </c>
      <c r="D42" s="3" t="s">
        <v>40</v>
      </c>
      <c r="E42" s="3" t="s">
        <v>116</v>
      </c>
      <c r="F42" s="3" t="s">
        <v>287</v>
      </c>
      <c r="G42" s="3" t="s">
        <v>288</v>
      </c>
      <c r="H42" s="3" t="s">
        <v>289</v>
      </c>
      <c r="I42" s="3" t="s">
        <v>290</v>
      </c>
      <c r="J42" s="3" t="s">
        <v>291</v>
      </c>
      <c r="K42" s="5" t="s">
        <v>135</v>
      </c>
      <c r="L42" s="5" t="s">
        <v>64</v>
      </c>
      <c r="M42" s="5" t="s">
        <v>222</v>
      </c>
      <c r="N42" s="3" t="s">
        <v>64</v>
      </c>
      <c r="O42" s="6">
        <v>283520</v>
      </c>
      <c r="P42" s="6">
        <v>283620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46163.36388888889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</row>
    <row r="43" ht="18" customHeight="1" spans="1:38" x14ac:dyDescent="0.25">
      <c r="A43" s="3" t="s">
        <v>37</v>
      </c>
      <c r="B43" s="3" t="s">
        <v>38</v>
      </c>
      <c r="C43" s="3" t="s">
        <v>39</v>
      </c>
      <c r="D43" s="3" t="s">
        <v>110</v>
      </c>
      <c r="E43" s="3" t="s">
        <v>292</v>
      </c>
      <c r="F43" s="3" t="s">
        <v>293</v>
      </c>
      <c r="G43" s="3" t="s">
        <v>294</v>
      </c>
      <c r="H43" s="3" t="s">
        <v>295</v>
      </c>
      <c r="I43" s="3" t="s">
        <v>296</v>
      </c>
      <c r="J43" s="3" t="s">
        <v>297</v>
      </c>
      <c r="K43" s="5" t="s">
        <v>298</v>
      </c>
      <c r="L43" s="5" t="s">
        <v>115</v>
      </c>
      <c r="M43" s="5" t="s">
        <v>299</v>
      </c>
      <c r="N43" s="3" t="s">
        <v>101</v>
      </c>
      <c r="O43" s="6">
        <v>0</v>
      </c>
      <c r="P43" s="6">
        <v>0</v>
      </c>
      <c r="Q43" s="6">
        <f>P43-O43</f>
      </c>
      <c r="R43" s="7">
        <v>100</v>
      </c>
      <c r="S43" s="6">
        <f>IF(Q43-R43&lt;0,"0",Q43-R43)</f>
      </c>
      <c r="T43" s="6">
        <v>0</v>
      </c>
      <c r="U43" s="8">
        <v>46163.54166666667</v>
      </c>
      <c r="V43" s="8">
        <v>46163.74791666667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6.9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</row>
    <row r="44" ht="18" customHeight="1" spans="1:38" x14ac:dyDescent="0.25">
      <c r="A44" s="3" t="s">
        <v>37</v>
      </c>
      <c r="B44" s="3" t="s">
        <v>38</v>
      </c>
      <c r="C44" s="3" t="s">
        <v>39</v>
      </c>
      <c r="D44" s="3" t="s">
        <v>40</v>
      </c>
      <c r="E44" s="3" t="s">
        <v>300</v>
      </c>
      <c r="F44" s="3" t="s">
        <v>301</v>
      </c>
      <c r="G44" s="3" t="s">
        <v>302</v>
      </c>
      <c r="H44" s="3" t="s">
        <v>303</v>
      </c>
      <c r="I44" s="3" t="s">
        <v>145</v>
      </c>
      <c r="J44" s="3" t="s">
        <v>304</v>
      </c>
      <c r="K44" s="5" t="s">
        <v>305</v>
      </c>
      <c r="L44" s="5" t="s">
        <v>64</v>
      </c>
      <c r="M44" s="5" t="s">
        <v>75</v>
      </c>
      <c r="N44" s="3" t="s">
        <v>64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46163.66666666667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</row>
    <row r="45" ht="18" customHeight="1" spans="1:38" x14ac:dyDescent="0.25">
      <c r="A45" s="3" t="s">
        <v>37</v>
      </c>
      <c r="B45" s="3" t="s">
        <v>38</v>
      </c>
      <c r="C45" s="3" t="s">
        <v>39</v>
      </c>
      <c r="D45" s="3" t="s">
        <v>40</v>
      </c>
      <c r="E45" s="3" t="s">
        <v>306</v>
      </c>
      <c r="F45" s="3" t="s">
        <v>307</v>
      </c>
      <c r="G45" s="3" t="s">
        <v>308</v>
      </c>
      <c r="H45" s="3" t="s">
        <v>309</v>
      </c>
      <c r="I45" s="3" t="s">
        <v>226</v>
      </c>
      <c r="J45" s="3" t="s">
        <v>310</v>
      </c>
      <c r="K45" s="5" t="s">
        <v>311</v>
      </c>
      <c r="L45" s="5" t="s">
        <v>101</v>
      </c>
      <c r="M45" s="5" t="s">
        <v>312</v>
      </c>
      <c r="N45" s="4" t="s">
        <v>46</v>
      </c>
      <c r="O45" s="6">
        <v>251428</v>
      </c>
      <c r="P45" s="6">
        <v>251528</v>
      </c>
      <c r="Q45" s="6">
        <f>P45-O45</f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46163.66666666667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7.35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0</v>
      </c>
      <c r="AG45" s="12">
        <f>SUM(AB45:AF45)</f>
      </c>
      <c r="AH45" s="3"/>
      <c r="AI45" s="3"/>
      <c r="AJ45" s="3"/>
      <c r="AK45" s="3"/>
      <c r="AL45" s="3"/>
    </row>
    <row r="46" ht="18" customHeight="1" spans="1:38" x14ac:dyDescent="0.25">
      <c r="A46" s="3" t="s">
        <v>37</v>
      </c>
      <c r="B46" s="3" t="s">
        <v>38</v>
      </c>
      <c r="C46" s="3" t="s">
        <v>39</v>
      </c>
      <c r="D46" s="3" t="s">
        <v>40</v>
      </c>
      <c r="E46" s="3" t="s">
        <v>313</v>
      </c>
      <c r="F46" s="3" t="s">
        <v>314</v>
      </c>
      <c r="G46" s="3" t="s">
        <v>315</v>
      </c>
      <c r="H46" s="3" t="s">
        <v>316</v>
      </c>
      <c r="I46" s="3" t="s">
        <v>317</v>
      </c>
      <c r="J46" s="3" t="s">
        <v>318</v>
      </c>
      <c r="K46" s="5" t="s">
        <v>319</v>
      </c>
      <c r="L46" s="5" t="s">
        <v>320</v>
      </c>
      <c r="M46" s="5" t="s">
        <v>321</v>
      </c>
      <c r="N46" s="3" t="s">
        <v>320</v>
      </c>
      <c r="O46" s="6">
        <v>227206</v>
      </c>
      <c r="P46" s="6">
        <v>227306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46163.72222222222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735</v>
      </c>
      <c r="AF46" s="12">
        <v>0</v>
      </c>
      <c r="AG46" s="12">
        <f>SUM(AB46:AF46)</f>
      </c>
      <c r="AH46" s="3"/>
      <c r="AI46" s="3"/>
      <c r="AJ46" s="3"/>
      <c r="AK46" s="3"/>
      <c r="AL46" s="3"/>
    </row>
    <row r="47" ht="18" customHeight="1" spans="1:38" x14ac:dyDescent="0.25">
      <c r="A47" s="3" t="s">
        <v>37</v>
      </c>
      <c r="B47" s="3" t="s">
        <v>38</v>
      </c>
      <c r="C47" s="3" t="s">
        <v>39</v>
      </c>
      <c r="D47" s="3" t="s">
        <v>40</v>
      </c>
      <c r="E47" s="3" t="s">
        <v>322</v>
      </c>
      <c r="F47" s="3" t="s">
        <v>323</v>
      </c>
      <c r="G47" s="3" t="s">
        <v>324</v>
      </c>
      <c r="H47" s="3" t="s">
        <v>325</v>
      </c>
      <c r="I47" s="3" t="s">
        <v>326</v>
      </c>
      <c r="J47" s="3" t="s">
        <v>327</v>
      </c>
      <c r="K47" s="5" t="s">
        <v>328</v>
      </c>
      <c r="L47" s="5" t="s">
        <v>329</v>
      </c>
      <c r="M47" s="5" t="s">
        <v>330</v>
      </c>
      <c r="N47" s="3" t="s">
        <v>329</v>
      </c>
      <c r="O47" s="6">
        <v>74432</v>
      </c>
      <c r="P47" s="6">
        <v>74532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46164.45833333333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</row>
    <row r="48" ht="18" customHeight="1" spans="1:38" x14ac:dyDescent="0.25">
      <c r="A48" s="3" t="s">
        <v>37</v>
      </c>
      <c r="B48" s="3" t="s">
        <v>38</v>
      </c>
      <c r="C48" s="3" t="s">
        <v>39</v>
      </c>
      <c r="D48" s="3" t="s">
        <v>40</v>
      </c>
      <c r="E48" s="3" t="s">
        <v>148</v>
      </c>
      <c r="F48" s="3" t="s">
        <v>331</v>
      </c>
      <c r="G48" s="3" t="s">
        <v>332</v>
      </c>
      <c r="H48" s="3" t="s">
        <v>333</v>
      </c>
      <c r="I48" s="3" t="s">
        <v>334</v>
      </c>
      <c r="J48" s="3" t="s">
        <v>335</v>
      </c>
      <c r="K48" s="5" t="s">
        <v>336</v>
      </c>
      <c r="L48" s="5" t="s">
        <v>48</v>
      </c>
      <c r="M48" s="5" t="s">
        <v>337</v>
      </c>
      <c r="N48" s="3" t="s">
        <v>64</v>
      </c>
      <c r="O48" s="6">
        <v>381005</v>
      </c>
      <c r="P48" s="6">
        <v>381624</v>
      </c>
      <c r="Q48" s="6">
        <f>P48-O48</f>
      </c>
      <c r="R48" s="7">
        <v>600</v>
      </c>
      <c r="S48" s="6">
        <f>IF(Q48-R48&lt;0,"0",Q48-R48)</f>
      </c>
      <c r="T48" s="6">
        <v>0</v>
      </c>
      <c r="U48" s="8">
        <v>46163.77777777778</v>
      </c>
      <c r="V48" s="8">
        <v>46164.40277777778</v>
      </c>
      <c r="W48" s="9">
        <f>V48-U48</f>
      </c>
      <c r="X48" s="10">
        <v>0.625</v>
      </c>
      <c r="Y48" s="9">
        <f>IF(W48-X48&lt;0,"00:00:00",W48-X48)</f>
      </c>
      <c r="Z48" s="11">
        <v>145</v>
      </c>
      <c r="AA48" s="11">
        <v>7.35</v>
      </c>
      <c r="AB48" s="12">
        <f>Y48*Z48*24</f>
      </c>
      <c r="AC48" s="12">
        <f>S48*AA48</f>
      </c>
      <c r="AD48" s="12">
        <f>T48*AA48</f>
      </c>
      <c r="AE48" s="11">
        <v>4410</v>
      </c>
      <c r="AF48" s="12">
        <v>60</v>
      </c>
      <c r="AG48" s="12">
        <f>SUM(AB48:AF48)</f>
      </c>
      <c r="AH48" s="3"/>
      <c r="AI48" s="3"/>
      <c r="AJ48" s="3"/>
      <c r="AK48" s="3"/>
      <c r="AL48" s="3"/>
    </row>
    <row r="49" ht="18" customHeight="1" spans="1:38" x14ac:dyDescent="0.25">
      <c r="A49" s="3" t="s">
        <v>37</v>
      </c>
      <c r="B49" s="3" t="s">
        <v>38</v>
      </c>
      <c r="C49" s="3" t="s">
        <v>39</v>
      </c>
      <c r="D49" s="3" t="s">
        <v>40</v>
      </c>
      <c r="E49" s="3" t="s">
        <v>116</v>
      </c>
      <c r="F49" s="3" t="s">
        <v>338</v>
      </c>
      <c r="G49" s="3" t="s">
        <v>339</v>
      </c>
      <c r="H49" s="3" t="s">
        <v>340</v>
      </c>
      <c r="I49" s="3" t="s">
        <v>341</v>
      </c>
      <c r="J49" s="4" t="s">
        <v>46</v>
      </c>
      <c r="K49" s="5" t="s">
        <v>159</v>
      </c>
      <c r="L49" s="5" t="s">
        <v>64</v>
      </c>
      <c r="M49" s="5" t="s">
        <v>75</v>
      </c>
      <c r="N49" s="3" t="s">
        <v>64</v>
      </c>
      <c r="O49" s="6">
        <v>14103</v>
      </c>
      <c r="P49" s="6">
        <v>14203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46164.04166666667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</row>
    <row r="50" ht="18" customHeight="1" spans="1:38" x14ac:dyDescent="0.25">
      <c r="A50" s="3" t="s">
        <v>37</v>
      </c>
      <c r="B50" s="3" t="s">
        <v>38</v>
      </c>
      <c r="C50" s="3" t="s">
        <v>39</v>
      </c>
      <c r="D50" s="3" t="s">
        <v>40</v>
      </c>
      <c r="E50" s="3" t="s">
        <v>148</v>
      </c>
      <c r="F50" s="3" t="s">
        <v>342</v>
      </c>
      <c r="G50" s="3" t="s">
        <v>332</v>
      </c>
      <c r="H50" s="3" t="s">
        <v>343</v>
      </c>
      <c r="I50" s="3" t="s">
        <v>280</v>
      </c>
      <c r="J50" s="3" t="s">
        <v>335</v>
      </c>
      <c r="K50" s="5" t="s">
        <v>336</v>
      </c>
      <c r="L50" s="5" t="s">
        <v>48</v>
      </c>
      <c r="M50" s="5" t="s">
        <v>337</v>
      </c>
      <c r="N50" s="3" t="s">
        <v>64</v>
      </c>
      <c r="O50" s="6">
        <v>312192</v>
      </c>
      <c r="P50" s="6">
        <v>312810</v>
      </c>
      <c r="Q50" s="6">
        <f>P50-O50</f>
      </c>
      <c r="R50" s="7">
        <v>600</v>
      </c>
      <c r="S50" s="6">
        <f>IF(Q50-R50&lt;0,"0",Q50-R50)</f>
      </c>
      <c r="T50" s="6">
        <v>0</v>
      </c>
      <c r="U50" s="8">
        <v>46163.77777777778</v>
      </c>
      <c r="V50" s="8">
        <v>46164.40277777778</v>
      </c>
      <c r="W50" s="9">
        <f>V50-U50</f>
      </c>
      <c r="X50" s="10">
        <v>0.625</v>
      </c>
      <c r="Y50" s="9">
        <f>IF(W50-X50&lt;0,"00:00:00",W50-X50)</f>
      </c>
      <c r="Z50" s="11">
        <v>145</v>
      </c>
      <c r="AA50" s="11">
        <v>7.35</v>
      </c>
      <c r="AB50" s="12">
        <f>Y50*Z50*24</f>
      </c>
      <c r="AC50" s="12">
        <f>S50*AA50</f>
      </c>
      <c r="AD50" s="12">
        <f>T50*AA50</f>
      </c>
      <c r="AE50" s="11">
        <v>4410</v>
      </c>
      <c r="AF50" s="12">
        <v>60</v>
      </c>
      <c r="AG50" s="12">
        <f>SUM(AB50:AF50)</f>
      </c>
      <c r="AH50" s="3"/>
      <c r="AI50" s="3"/>
      <c r="AJ50" s="3"/>
      <c r="AK50" s="3"/>
      <c r="AL50" s="3"/>
    </row>
    <row r="51" ht="18" customHeight="1" spans="1:38" x14ac:dyDescent="0.25">
      <c r="A51" s="3" t="s">
        <v>37</v>
      </c>
      <c r="B51" s="3" t="s">
        <v>38</v>
      </c>
      <c r="C51" s="3" t="s">
        <v>39</v>
      </c>
      <c r="D51" s="3" t="s">
        <v>110</v>
      </c>
      <c r="E51" s="3" t="s">
        <v>344</v>
      </c>
      <c r="F51" s="3" t="s">
        <v>345</v>
      </c>
      <c r="G51" s="4" t="s">
        <v>46</v>
      </c>
      <c r="H51" s="3" t="s">
        <v>346</v>
      </c>
      <c r="I51" s="3" t="s">
        <v>347</v>
      </c>
      <c r="J51" s="4" t="s">
        <v>46</v>
      </c>
      <c r="K51" s="5" t="s">
        <v>348</v>
      </c>
      <c r="L51" s="5" t="s">
        <v>115</v>
      </c>
      <c r="M51" s="5" t="s">
        <v>168</v>
      </c>
      <c r="N51" s="4" t="s">
        <v>46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46163.915972222225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</row>
    <row r="52" ht="18" customHeight="1" spans="1:38" x14ac:dyDescent="0.25">
      <c r="A52" s="3" t="s">
        <v>37</v>
      </c>
      <c r="B52" s="3" t="s">
        <v>38</v>
      </c>
      <c r="C52" s="3" t="s">
        <v>39</v>
      </c>
      <c r="D52" s="3" t="s">
        <v>40</v>
      </c>
      <c r="E52" s="3" t="s">
        <v>349</v>
      </c>
      <c r="F52" s="3" t="s">
        <v>350</v>
      </c>
      <c r="G52" s="3" t="s">
        <v>351</v>
      </c>
      <c r="H52" s="3" t="s">
        <v>352</v>
      </c>
      <c r="I52" s="3" t="s">
        <v>353</v>
      </c>
      <c r="J52" s="3" t="s">
        <v>354</v>
      </c>
      <c r="K52" s="5" t="s">
        <v>355</v>
      </c>
      <c r="L52" s="5" t="s">
        <v>356</v>
      </c>
      <c r="M52" s="5" t="s">
        <v>357</v>
      </c>
      <c r="N52" s="3" t="s">
        <v>356</v>
      </c>
      <c r="O52" s="6">
        <v>19921</v>
      </c>
      <c r="P52" s="6">
        <v>20021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46164.41666666667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</row>
    <row r="53" ht="18" customHeight="1" spans="1:38" x14ac:dyDescent="0.25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358</v>
      </c>
      <c r="F53" s="3" t="s">
        <v>359</v>
      </c>
      <c r="G53" s="3" t="s">
        <v>360</v>
      </c>
      <c r="H53" s="3" t="s">
        <v>361</v>
      </c>
      <c r="I53" s="3" t="s">
        <v>220</v>
      </c>
      <c r="J53" s="4" t="s">
        <v>46</v>
      </c>
      <c r="K53" s="5" t="s">
        <v>362</v>
      </c>
      <c r="L53" s="5" t="s">
        <v>115</v>
      </c>
      <c r="M53" s="5" t="s">
        <v>211</v>
      </c>
      <c r="N53" s="4" t="s">
        <v>46</v>
      </c>
      <c r="O53" s="6">
        <v>65365</v>
      </c>
      <c r="P53" s="6">
        <v>65505</v>
      </c>
      <c r="Q53" s="6">
        <f>P53-O53</f>
      </c>
      <c r="R53" s="7">
        <v>100</v>
      </c>
      <c r="S53" s="6">
        <f>IF(Q53-R53&lt;0,"0",Q53-R53)</f>
      </c>
      <c r="T53" s="6">
        <v>0</v>
      </c>
      <c r="U53" s="8">
        <v>46163.875</v>
      </c>
      <c r="V53" s="8">
        <v>46164</v>
      </c>
      <c r="W53" s="9">
        <f>V53-U53</f>
      </c>
      <c r="X53" s="10">
        <v>0.125</v>
      </c>
      <c r="Y53" s="9">
        <f>IF(W53-X53&lt;0,"00:00:00",W53-X53)</f>
      </c>
      <c r="Z53" s="11">
        <v>145</v>
      </c>
      <c r="AA53" s="11">
        <v>6.9</v>
      </c>
      <c r="AB53" s="12">
        <f>Y53*Z53*24</f>
      </c>
      <c r="AC53" s="12">
        <f>S53*AA53</f>
      </c>
      <c r="AD53" s="12">
        <f>T53*AA53</f>
      </c>
      <c r="AE53" s="11">
        <v>690</v>
      </c>
      <c r="AF53" s="12">
        <v>25</v>
      </c>
      <c r="AG53" s="12">
        <f>SUM(AB53:AF53)</f>
      </c>
      <c r="AH53" s="3"/>
      <c r="AI53" s="3"/>
      <c r="AJ53" s="3"/>
      <c r="AK53" s="3"/>
      <c r="AL53" s="3"/>
    </row>
    <row r="54" ht="18" customHeight="1" spans="1:38" x14ac:dyDescent="0.25">
      <c r="A54" s="3" t="s">
        <v>37</v>
      </c>
      <c r="B54" s="3" t="s">
        <v>38</v>
      </c>
      <c r="C54" s="3" t="s">
        <v>39</v>
      </c>
      <c r="D54" s="3" t="s">
        <v>40</v>
      </c>
      <c r="E54" s="3" t="s">
        <v>358</v>
      </c>
      <c r="F54" s="3" t="s">
        <v>363</v>
      </c>
      <c r="G54" s="3" t="s">
        <v>364</v>
      </c>
      <c r="H54" s="3" t="s">
        <v>365</v>
      </c>
      <c r="I54" s="3" t="s">
        <v>257</v>
      </c>
      <c r="J54" s="4" t="s">
        <v>46</v>
      </c>
      <c r="K54" s="5" t="s">
        <v>366</v>
      </c>
      <c r="L54" s="13" t="s">
        <v>46</v>
      </c>
      <c r="M54" s="5" t="s">
        <v>211</v>
      </c>
      <c r="N54" s="4" t="s">
        <v>46</v>
      </c>
      <c r="O54" s="6">
        <v>80635</v>
      </c>
      <c r="P54" s="6">
        <v>80757</v>
      </c>
      <c r="Q54" s="6">
        <f>P54-O54</f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46164.01736111111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</row>
    <row r="55" ht="18" customHeight="1" spans="1:38" x14ac:dyDescent="0.25">
      <c r="A55" s="3" t="s">
        <v>37</v>
      </c>
      <c r="B55" s="3" t="s">
        <v>38</v>
      </c>
      <c r="C55" s="3" t="s">
        <v>39</v>
      </c>
      <c r="D55" s="3" t="s">
        <v>40</v>
      </c>
      <c r="E55" s="3" t="s">
        <v>116</v>
      </c>
      <c r="F55" s="3" t="s">
        <v>367</v>
      </c>
      <c r="G55" s="3" t="s">
        <v>368</v>
      </c>
      <c r="H55" s="3" t="s">
        <v>369</v>
      </c>
      <c r="I55" s="3" t="s">
        <v>257</v>
      </c>
      <c r="J55" s="3" t="s">
        <v>370</v>
      </c>
      <c r="K55" s="5" t="s">
        <v>371</v>
      </c>
      <c r="L55" s="5" t="s">
        <v>64</v>
      </c>
      <c r="M55" s="5" t="s">
        <v>168</v>
      </c>
      <c r="N55" s="4" t="s">
        <v>46</v>
      </c>
      <c r="O55" s="6">
        <v>80963</v>
      </c>
      <c r="P55" s="6">
        <v>81063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46164.75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</row>
    <row r="56" ht="18" customHeight="1" spans="1:38" x14ac:dyDescent="0.25">
      <c r="A56" s="3" t="s">
        <v>37</v>
      </c>
      <c r="B56" s="3" t="s">
        <v>38</v>
      </c>
      <c r="C56" s="3" t="s">
        <v>39</v>
      </c>
      <c r="D56" s="3" t="s">
        <v>40</v>
      </c>
      <c r="E56" s="3" t="s">
        <v>372</v>
      </c>
      <c r="F56" s="3" t="s">
        <v>373</v>
      </c>
      <c r="G56" s="3" t="s">
        <v>374</v>
      </c>
      <c r="H56" s="3" t="s">
        <v>375</v>
      </c>
      <c r="I56" s="3" t="s">
        <v>376</v>
      </c>
      <c r="J56" s="4" t="s">
        <v>46</v>
      </c>
      <c r="K56" s="5" t="s">
        <v>377</v>
      </c>
      <c r="L56" s="5" t="s">
        <v>83</v>
      </c>
      <c r="M56" s="5" t="s">
        <v>65</v>
      </c>
      <c r="N56" s="4" t="s">
        <v>46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46164.131944444445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6.9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</row>
    <row r="57" ht="18" customHeight="1" spans="1:38" x14ac:dyDescent="0.25">
      <c r="A57" s="3" t="s">
        <v>37</v>
      </c>
      <c r="B57" s="3" t="s">
        <v>38</v>
      </c>
      <c r="C57" s="3" t="s">
        <v>39</v>
      </c>
      <c r="D57" s="3" t="s">
        <v>40</v>
      </c>
      <c r="E57" s="3" t="s">
        <v>378</v>
      </c>
      <c r="F57" s="3" t="s">
        <v>379</v>
      </c>
      <c r="G57" s="3" t="s">
        <v>380</v>
      </c>
      <c r="H57" s="3" t="s">
        <v>381</v>
      </c>
      <c r="I57" s="3" t="s">
        <v>341</v>
      </c>
      <c r="J57" s="3" t="s">
        <v>382</v>
      </c>
      <c r="K57" s="5" t="s">
        <v>75</v>
      </c>
      <c r="L57" s="5" t="s">
        <v>64</v>
      </c>
      <c r="M57" s="5" t="s">
        <v>383</v>
      </c>
      <c r="N57" s="3" t="s">
        <v>235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46165.08333333333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</row>
    <row r="58" ht="18" customHeight="1" spans="1:38" x14ac:dyDescent="0.25">
      <c r="A58" s="3" t="s">
        <v>37</v>
      </c>
      <c r="B58" s="3" t="s">
        <v>38</v>
      </c>
      <c r="C58" s="3" t="s">
        <v>39</v>
      </c>
      <c r="D58" s="3" t="s">
        <v>110</v>
      </c>
      <c r="E58" s="3" t="s">
        <v>57</v>
      </c>
      <c r="F58" s="3" t="s">
        <v>384</v>
      </c>
      <c r="G58" s="3" t="s">
        <v>385</v>
      </c>
      <c r="H58" s="3" t="s">
        <v>386</v>
      </c>
      <c r="I58" s="3" t="s">
        <v>106</v>
      </c>
      <c r="J58" s="3" t="s">
        <v>387</v>
      </c>
      <c r="K58" s="5" t="s">
        <v>75</v>
      </c>
      <c r="L58" s="5" t="s">
        <v>64</v>
      </c>
      <c r="M58" s="5" t="s">
        <v>65</v>
      </c>
      <c r="N58" s="4" t="s">
        <v>46</v>
      </c>
      <c r="O58" s="6">
        <v>0</v>
      </c>
      <c r="P58" s="6">
        <v>0</v>
      </c>
      <c r="Q58" s="6">
        <f>P58-O58</f>
      </c>
      <c r="R58" s="7">
        <v>100</v>
      </c>
      <c r="S58" s="6">
        <f>IF(Q58-R58&lt;0,"0",Q58-R58)</f>
      </c>
      <c r="T58" s="6">
        <v>0</v>
      </c>
      <c r="U58" s="8">
        <v>46164.04166666667</v>
      </c>
      <c r="V58" s="8">
        <v>46164.16666666667</v>
      </c>
      <c r="W58" s="9">
        <f>V58-U58</f>
      </c>
      <c r="X58" s="10">
        <v>0.125</v>
      </c>
      <c r="Y58" s="9">
        <f>IF(W58-X58&lt;0,"00:00:00",W58-X58)</f>
      </c>
      <c r="Z58" s="11">
        <v>145</v>
      </c>
      <c r="AA58" s="11">
        <v>6.9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</row>
    <row r="59" ht="18" customHeight="1" spans="1:38" x14ac:dyDescent="0.25">
      <c r="A59" s="3" t="s">
        <v>37</v>
      </c>
      <c r="B59" s="3" t="s">
        <v>38</v>
      </c>
      <c r="C59" s="3" t="s">
        <v>39</v>
      </c>
      <c r="D59" s="3" t="s">
        <v>40</v>
      </c>
      <c r="E59" s="3" t="s">
        <v>116</v>
      </c>
      <c r="F59" s="3" t="s">
        <v>388</v>
      </c>
      <c r="G59" s="3" t="s">
        <v>389</v>
      </c>
      <c r="H59" s="3" t="s">
        <v>390</v>
      </c>
      <c r="I59" s="3" t="s">
        <v>220</v>
      </c>
      <c r="J59" s="3" t="s">
        <v>391</v>
      </c>
      <c r="K59" s="5" t="s">
        <v>75</v>
      </c>
      <c r="L59" s="5" t="s">
        <v>64</v>
      </c>
      <c r="M59" s="5" t="s">
        <v>222</v>
      </c>
      <c r="N59" s="3" t="s">
        <v>64</v>
      </c>
      <c r="O59" s="6">
        <v>65568</v>
      </c>
      <c r="P59" s="6">
        <v>65668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46164.53125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690.0000000000001</v>
      </c>
      <c r="AF59" s="12">
        <v>5.9</v>
      </c>
      <c r="AG59" s="12">
        <f>SUM(AB59:AF59)</f>
      </c>
      <c r="AH59" s="3"/>
      <c r="AI59" s="3"/>
      <c r="AJ59" s="3"/>
      <c r="AK59" s="3"/>
      <c r="AL59" s="3"/>
    </row>
    <row r="60" ht="18" customHeight="1" spans="1:38" x14ac:dyDescent="0.25">
      <c r="A60" s="3" t="s">
        <v>37</v>
      </c>
      <c r="B60" s="3" t="s">
        <v>38</v>
      </c>
      <c r="C60" s="3" t="s">
        <v>39</v>
      </c>
      <c r="D60" s="3" t="s">
        <v>40</v>
      </c>
      <c r="E60" s="3" t="s">
        <v>94</v>
      </c>
      <c r="F60" s="3" t="s">
        <v>392</v>
      </c>
      <c r="G60" s="3" t="s">
        <v>393</v>
      </c>
      <c r="H60" s="3" t="s">
        <v>394</v>
      </c>
      <c r="I60" s="3" t="s">
        <v>395</v>
      </c>
      <c r="J60" s="3" t="s">
        <v>396</v>
      </c>
      <c r="K60" s="5" t="s">
        <v>397</v>
      </c>
      <c r="L60" s="5" t="s">
        <v>101</v>
      </c>
      <c r="M60" s="5" t="s">
        <v>398</v>
      </c>
      <c r="N60" s="3" t="s">
        <v>101</v>
      </c>
      <c r="O60" s="6">
        <v>213906</v>
      </c>
      <c r="P60" s="6">
        <v>214006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46164.41666666667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</row>
    <row r="61" ht="18" customHeight="1" spans="1:38" x14ac:dyDescent="0.25">
      <c r="A61" s="3" t="s">
        <v>37</v>
      </c>
      <c r="B61" s="3" t="s">
        <v>38</v>
      </c>
      <c r="C61" s="3" t="s">
        <v>39</v>
      </c>
      <c r="D61" s="3" t="s">
        <v>40</v>
      </c>
      <c r="E61" s="3" t="s">
        <v>94</v>
      </c>
      <c r="F61" s="3" t="s">
        <v>399</v>
      </c>
      <c r="G61" s="3" t="s">
        <v>400</v>
      </c>
      <c r="H61" s="3" t="s">
        <v>401</v>
      </c>
      <c r="I61" s="3" t="s">
        <v>402</v>
      </c>
      <c r="J61" s="3" t="s">
        <v>403</v>
      </c>
      <c r="K61" s="5" t="s">
        <v>397</v>
      </c>
      <c r="L61" s="5" t="s">
        <v>101</v>
      </c>
      <c r="M61" s="5" t="s">
        <v>404</v>
      </c>
      <c r="N61" s="4" t="s">
        <v>46</v>
      </c>
      <c r="O61" s="6">
        <v>280268</v>
      </c>
      <c r="P61" s="6">
        <v>280368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46164.413888888885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7.35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</row>
    <row r="62" ht="18" customHeight="1" spans="1:38" x14ac:dyDescent="0.25">
      <c r="A62" s="3" t="s">
        <v>37</v>
      </c>
      <c r="B62" s="3" t="s">
        <v>38</v>
      </c>
      <c r="C62" s="3" t="s">
        <v>39</v>
      </c>
      <c r="D62" s="3" t="s">
        <v>40</v>
      </c>
      <c r="E62" s="3" t="s">
        <v>405</v>
      </c>
      <c r="F62" s="3" t="s">
        <v>406</v>
      </c>
      <c r="G62" s="3" t="s">
        <v>407</v>
      </c>
      <c r="H62" s="3" t="s">
        <v>408</v>
      </c>
      <c r="I62" s="3" t="s">
        <v>409</v>
      </c>
      <c r="J62" s="3" t="s">
        <v>410</v>
      </c>
      <c r="K62" s="5" t="s">
        <v>159</v>
      </c>
      <c r="L62" s="5" t="s">
        <v>64</v>
      </c>
      <c r="M62" s="5" t="s">
        <v>411</v>
      </c>
      <c r="N62" s="3" t="s">
        <v>101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46167.43541666667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</row>
    <row r="63" ht="18" customHeight="1" spans="1:38" x14ac:dyDescent="0.25">
      <c r="A63" s="3" t="s">
        <v>37</v>
      </c>
      <c r="B63" s="3" t="s">
        <v>38</v>
      </c>
      <c r="C63" s="3" t="s">
        <v>39</v>
      </c>
      <c r="D63" s="3" t="s">
        <v>40</v>
      </c>
      <c r="E63" s="3" t="s">
        <v>94</v>
      </c>
      <c r="F63" s="3" t="s">
        <v>412</v>
      </c>
      <c r="G63" s="3" t="s">
        <v>413</v>
      </c>
      <c r="H63" s="3" t="s">
        <v>414</v>
      </c>
      <c r="I63" s="3" t="s">
        <v>415</v>
      </c>
      <c r="J63" s="3" t="s">
        <v>403</v>
      </c>
      <c r="K63" s="5" t="s">
        <v>416</v>
      </c>
      <c r="L63" s="5" t="s">
        <v>101</v>
      </c>
      <c r="M63" s="5" t="s">
        <v>311</v>
      </c>
      <c r="N63" s="3" t="s">
        <v>101</v>
      </c>
      <c r="O63" s="6">
        <v>264917</v>
      </c>
      <c r="P63" s="6">
        <v>265017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46164.72916666667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</row>
    <row r="64" ht="18" customHeight="1" spans="1:38" x14ac:dyDescent="0.25">
      <c r="A64" s="3" t="s">
        <v>37</v>
      </c>
      <c r="B64" s="3" t="s">
        <v>38</v>
      </c>
      <c r="C64" s="3" t="s">
        <v>39</v>
      </c>
      <c r="D64" s="3" t="s">
        <v>40</v>
      </c>
      <c r="E64" s="3" t="s">
        <v>94</v>
      </c>
      <c r="F64" s="3" t="s">
        <v>417</v>
      </c>
      <c r="G64" s="3" t="s">
        <v>413</v>
      </c>
      <c r="H64" s="3" t="s">
        <v>418</v>
      </c>
      <c r="I64" s="3" t="s">
        <v>395</v>
      </c>
      <c r="J64" s="3" t="s">
        <v>403</v>
      </c>
      <c r="K64" s="5" t="s">
        <v>416</v>
      </c>
      <c r="L64" s="5" t="s">
        <v>101</v>
      </c>
      <c r="M64" s="5" t="s">
        <v>311</v>
      </c>
      <c r="N64" s="3" t="s">
        <v>101</v>
      </c>
      <c r="O64" s="6">
        <v>213994</v>
      </c>
      <c r="P64" s="6">
        <v>214094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46164.72916666667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</row>
    <row r="65" ht="18" customHeight="1" spans="1:38" x14ac:dyDescent="0.25">
      <c r="A65" s="3" t="s">
        <v>37</v>
      </c>
      <c r="B65" s="3" t="s">
        <v>38</v>
      </c>
      <c r="C65" s="3" t="s">
        <v>39</v>
      </c>
      <c r="D65" s="3" t="s">
        <v>40</v>
      </c>
      <c r="E65" s="3" t="s">
        <v>405</v>
      </c>
      <c r="F65" s="3" t="s">
        <v>419</v>
      </c>
      <c r="G65" s="3" t="s">
        <v>420</v>
      </c>
      <c r="H65" s="3" t="s">
        <v>421</v>
      </c>
      <c r="I65" s="3" t="s">
        <v>422</v>
      </c>
      <c r="J65" s="3" t="s">
        <v>423</v>
      </c>
      <c r="K65" s="5" t="s">
        <v>159</v>
      </c>
      <c r="L65" s="5" t="s">
        <v>64</v>
      </c>
      <c r="M65" s="5" t="s">
        <v>424</v>
      </c>
      <c r="N65" s="3" t="s">
        <v>101</v>
      </c>
      <c r="O65" s="6">
        <v>3295</v>
      </c>
      <c r="P65" s="6">
        <v>4495</v>
      </c>
      <c r="Q65" s="6">
        <f>P65-O65</f>
      </c>
      <c r="R65" s="7">
        <v>1200</v>
      </c>
      <c r="S65" s="6">
        <f>IF(Q65-R65&lt;0,"0",Q65-R65)</f>
      </c>
      <c r="T65" s="6">
        <v>0</v>
      </c>
      <c r="U65" s="8">
        <v>46165.22916666667</v>
      </c>
      <c r="V65" s="8">
        <v>46167.44375</v>
      </c>
      <c r="W65" s="9">
        <f>V65-U65</f>
      </c>
      <c r="X65" s="10">
        <v>1.25</v>
      </c>
      <c r="Y65" s="9">
        <f>IF(W65-X65&lt;0,"00:00:00",W65-X65)</f>
      </c>
      <c r="Z65" s="11">
        <v>145</v>
      </c>
      <c r="AA65" s="11">
        <v>6.9</v>
      </c>
      <c r="AB65" s="12">
        <f>Y65*Z65*24</f>
      </c>
      <c r="AC65" s="12">
        <f>S65*AA65</f>
      </c>
      <c r="AD65" s="12">
        <f>T65*AA65</f>
      </c>
      <c r="AE65" s="11">
        <v>8280</v>
      </c>
      <c r="AF65" s="12">
        <v>138.5</v>
      </c>
      <c r="AG65" s="12">
        <f>SUM(AB65:AF65)</f>
      </c>
      <c r="AH65" s="3"/>
      <c r="AI65" s="3"/>
      <c r="AJ65" s="3"/>
      <c r="AK65" s="3"/>
      <c r="AL65" s="3"/>
    </row>
    <row r="66" ht="18" customHeight="1" spans="1:38" x14ac:dyDescent="0.25">
      <c r="A66" s="3" t="s">
        <v>37</v>
      </c>
      <c r="B66" s="3" t="s">
        <v>38</v>
      </c>
      <c r="C66" s="3" t="s">
        <v>39</v>
      </c>
      <c r="D66" s="3" t="s">
        <v>40</v>
      </c>
      <c r="E66" s="3" t="s">
        <v>57</v>
      </c>
      <c r="F66" s="3" t="s">
        <v>425</v>
      </c>
      <c r="G66" s="3" t="s">
        <v>426</v>
      </c>
      <c r="H66" s="3" t="s">
        <v>427</v>
      </c>
      <c r="I66" s="3" t="s">
        <v>257</v>
      </c>
      <c r="J66" s="3" t="s">
        <v>428</v>
      </c>
      <c r="K66" s="5" t="s">
        <v>75</v>
      </c>
      <c r="L66" s="5" t="s">
        <v>64</v>
      </c>
      <c r="M66" s="5" t="s">
        <v>65</v>
      </c>
      <c r="N66" s="4" t="s">
        <v>46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46165.10416666667</v>
      </c>
      <c r="W66" s="9">
        <f>V66-U66</f>
      </c>
      <c r="X66" s="10">
        <v>0.20833333333333334</v>
      </c>
      <c r="Y66" s="9">
        <f>IF(W66-X66&lt;0,"00:00:00",W66-X66)</f>
      </c>
      <c r="Z66" s="11">
        <v>145</v>
      </c>
      <c r="AA66" s="11">
        <v>6.9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</row>
    <row r="67" ht="18" customHeight="1" spans="1:38" x14ac:dyDescent="0.25">
      <c r="A67" s="3" t="s">
        <v>37</v>
      </c>
      <c r="B67" s="3" t="s">
        <v>38</v>
      </c>
      <c r="C67" s="3" t="s">
        <v>39</v>
      </c>
      <c r="D67" s="3" t="s">
        <v>40</v>
      </c>
      <c r="E67" s="3" t="s">
        <v>429</v>
      </c>
      <c r="F67" s="3" t="s">
        <v>430</v>
      </c>
      <c r="G67" s="3" t="s">
        <v>431</v>
      </c>
      <c r="H67" s="3" t="s">
        <v>432</v>
      </c>
      <c r="I67" s="3" t="s">
        <v>433</v>
      </c>
      <c r="J67" s="3" t="s">
        <v>434</v>
      </c>
      <c r="K67" s="5" t="s">
        <v>435</v>
      </c>
      <c r="L67" s="5" t="s">
        <v>83</v>
      </c>
      <c r="M67" s="5" t="s">
        <v>93</v>
      </c>
      <c r="N67" s="4" t="s">
        <v>46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46165.3125</v>
      </c>
      <c r="W67" s="9">
        <f>V67-U67</f>
      </c>
      <c r="X67" s="10">
        <v>0.3333333333333333</v>
      </c>
      <c r="Y67" s="9">
        <f>IF(W67-X67&lt;0,"00:00:00",W67-X67)</f>
      </c>
      <c r="Z67" s="11">
        <v>145</v>
      </c>
      <c r="AA67" s="11">
        <v>6.9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</row>
    <row r="68" ht="18" customHeight="1" spans="1:38" x14ac:dyDescent="0.25">
      <c r="A68" s="3" t="s">
        <v>37</v>
      </c>
      <c r="B68" s="3" t="s">
        <v>38</v>
      </c>
      <c r="C68" s="3" t="s">
        <v>39</v>
      </c>
      <c r="D68" s="3" t="s">
        <v>40</v>
      </c>
      <c r="E68" s="3" t="s">
        <v>372</v>
      </c>
      <c r="F68" s="3" t="s">
        <v>436</v>
      </c>
      <c r="G68" s="3" t="s">
        <v>437</v>
      </c>
      <c r="H68" s="3" t="s">
        <v>438</v>
      </c>
      <c r="I68" s="3" t="s">
        <v>439</v>
      </c>
      <c r="J68" s="3" t="s">
        <v>440</v>
      </c>
      <c r="K68" s="5" t="s">
        <v>435</v>
      </c>
      <c r="L68" s="5" t="s">
        <v>83</v>
      </c>
      <c r="M68" s="5" t="s">
        <v>65</v>
      </c>
      <c r="N68" s="4" t="s">
        <v>46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46165.16666666667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6.9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</row>
    <row r="69" ht="18" customHeight="1" spans="1:38" x14ac:dyDescent="0.25">
      <c r="A69" s="3" t="s">
        <v>37</v>
      </c>
      <c r="B69" s="3" t="s">
        <v>38</v>
      </c>
      <c r="C69" s="3" t="s">
        <v>39</v>
      </c>
      <c r="D69" s="3" t="s">
        <v>40</v>
      </c>
      <c r="E69" s="3" t="s">
        <v>344</v>
      </c>
      <c r="F69" s="3" t="s">
        <v>441</v>
      </c>
      <c r="G69" s="3" t="s">
        <v>442</v>
      </c>
      <c r="H69" s="3" t="s">
        <v>443</v>
      </c>
      <c r="I69" s="3" t="s">
        <v>444</v>
      </c>
      <c r="J69" s="3" t="s">
        <v>445</v>
      </c>
      <c r="K69" s="5" t="s">
        <v>446</v>
      </c>
      <c r="L69" s="5" t="s">
        <v>115</v>
      </c>
      <c r="M69" s="5" t="s">
        <v>65</v>
      </c>
      <c r="N69" s="4" t="s">
        <v>46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</row>
    <row r="70" ht="18" customHeight="1" spans="1:38" x14ac:dyDescent="0.25">
      <c r="A70" s="3" t="s">
        <v>37</v>
      </c>
      <c r="B70" s="3" t="s">
        <v>38</v>
      </c>
      <c r="C70" s="3" t="s">
        <v>39</v>
      </c>
      <c r="D70" s="3" t="s">
        <v>40</v>
      </c>
      <c r="E70" s="3" t="s">
        <v>57</v>
      </c>
      <c r="F70" s="3" t="s">
        <v>447</v>
      </c>
      <c r="G70" s="3" t="s">
        <v>448</v>
      </c>
      <c r="H70" s="3" t="s">
        <v>449</v>
      </c>
      <c r="I70" s="3" t="s">
        <v>450</v>
      </c>
      <c r="J70" s="4" t="s">
        <v>46</v>
      </c>
      <c r="K70" s="5" t="s">
        <v>63</v>
      </c>
      <c r="L70" s="5" t="s">
        <v>64</v>
      </c>
      <c r="M70" s="5" t="s">
        <v>65</v>
      </c>
      <c r="N70" s="4" t="s">
        <v>46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46165.25</v>
      </c>
      <c r="W70" s="9">
        <f>V70-U70</f>
      </c>
      <c r="X70" s="10">
        <v>0.20833333333333334</v>
      </c>
      <c r="Y70" s="9">
        <f>IF(W70-X70&lt;0,"00:00:00",W70-X70)</f>
      </c>
      <c r="Z70" s="11">
        <v>145</v>
      </c>
      <c r="AA70" s="11">
        <v>6.9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</row>
    <row r="71" ht="18" customHeight="1" spans="1:38" x14ac:dyDescent="0.25">
      <c r="A71" s="3" t="s">
        <v>37</v>
      </c>
      <c r="B71" s="3" t="s">
        <v>38</v>
      </c>
      <c r="C71" s="3" t="s">
        <v>39</v>
      </c>
      <c r="D71" s="3" t="s">
        <v>40</v>
      </c>
      <c r="E71" s="3" t="s">
        <v>57</v>
      </c>
      <c r="F71" s="3" t="s">
        <v>451</v>
      </c>
      <c r="G71" s="3" t="s">
        <v>452</v>
      </c>
      <c r="H71" s="3" t="s">
        <v>453</v>
      </c>
      <c r="I71" s="3" t="s">
        <v>341</v>
      </c>
      <c r="J71" s="3" t="s">
        <v>454</v>
      </c>
      <c r="K71" s="5" t="s">
        <v>63</v>
      </c>
      <c r="L71" s="5" t="s">
        <v>64</v>
      </c>
      <c r="M71" s="5" t="s">
        <v>65</v>
      </c>
      <c r="N71" s="4" t="s">
        <v>46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46166.625</v>
      </c>
      <c r="W71" s="9">
        <f>V71-U71</f>
      </c>
      <c r="X71" s="10">
        <v>0.20833333333333334</v>
      </c>
      <c r="Y71" s="9">
        <f>IF(W71-X71&lt;0,"00:00:00",W71-X71)</f>
      </c>
      <c r="Z71" s="11">
        <v>145</v>
      </c>
      <c r="AA71" s="11">
        <v>6.9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</row>
    <row r="72" ht="18" customHeight="1" spans="1:38" x14ac:dyDescent="0.25">
      <c r="A72" s="3" t="s">
        <v>37</v>
      </c>
      <c r="B72" s="3" t="s">
        <v>38</v>
      </c>
      <c r="C72" s="3" t="s">
        <v>39</v>
      </c>
      <c r="D72" s="3" t="s">
        <v>40</v>
      </c>
      <c r="E72" s="3" t="s">
        <v>455</v>
      </c>
      <c r="F72" s="3" t="s">
        <v>456</v>
      </c>
      <c r="G72" s="3" t="s">
        <v>457</v>
      </c>
      <c r="H72" s="3" t="s">
        <v>458</v>
      </c>
      <c r="I72" s="3" t="s">
        <v>459</v>
      </c>
      <c r="J72" s="3" t="s">
        <v>460</v>
      </c>
      <c r="K72" s="5" t="s">
        <v>461</v>
      </c>
      <c r="L72" s="5" t="s">
        <v>115</v>
      </c>
      <c r="M72" s="5" t="s">
        <v>446</v>
      </c>
      <c r="N72" s="3" t="s">
        <v>115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46165.41666666667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</row>
    <row r="73" ht="18" customHeight="1" spans="1:38" x14ac:dyDescent="0.25">
      <c r="A73" s="3" t="s">
        <v>37</v>
      </c>
      <c r="B73" s="3" t="s">
        <v>38</v>
      </c>
      <c r="C73" s="3" t="s">
        <v>39</v>
      </c>
      <c r="D73" s="3" t="s">
        <v>40</v>
      </c>
      <c r="E73" s="3" t="s">
        <v>116</v>
      </c>
      <c r="F73" s="3" t="s">
        <v>462</v>
      </c>
      <c r="G73" s="3" t="s">
        <v>463</v>
      </c>
      <c r="H73" s="3" t="s">
        <v>464</v>
      </c>
      <c r="I73" s="3" t="s">
        <v>257</v>
      </c>
      <c r="J73" s="3" t="s">
        <v>465</v>
      </c>
      <c r="K73" s="5" t="s">
        <v>108</v>
      </c>
      <c r="L73" s="5" t="s">
        <v>64</v>
      </c>
      <c r="M73" s="5" t="s">
        <v>135</v>
      </c>
      <c r="N73" s="3" t="s">
        <v>64</v>
      </c>
      <c r="O73" s="6">
        <v>81601</v>
      </c>
      <c r="P73" s="6">
        <v>81701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46165.66666666667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</row>
    <row r="74" ht="18" customHeight="1" spans="1:38" x14ac:dyDescent="0.25">
      <c r="A74" s="3" t="s">
        <v>37</v>
      </c>
      <c r="B74" s="3" t="s">
        <v>38</v>
      </c>
      <c r="C74" s="3" t="s">
        <v>39</v>
      </c>
      <c r="D74" s="3" t="s">
        <v>40</v>
      </c>
      <c r="E74" s="3" t="s">
        <v>57</v>
      </c>
      <c r="F74" s="3" t="s">
        <v>466</v>
      </c>
      <c r="G74" s="3" t="s">
        <v>467</v>
      </c>
      <c r="H74" s="3" t="s">
        <v>468</v>
      </c>
      <c r="I74" s="3" t="s">
        <v>469</v>
      </c>
      <c r="J74" s="3" t="s">
        <v>470</v>
      </c>
      <c r="K74" s="5" t="s">
        <v>75</v>
      </c>
      <c r="L74" s="5" t="s">
        <v>64</v>
      </c>
      <c r="M74" s="5" t="s">
        <v>65</v>
      </c>
      <c r="N74" s="4" t="s">
        <v>46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46165.964583333334</v>
      </c>
      <c r="W74" s="9">
        <f>V74-U74</f>
      </c>
      <c r="X74" s="10">
        <v>0.20833333333333334</v>
      </c>
      <c r="Y74" s="9">
        <f>IF(W74-X74&lt;0,"00:00:00",W74-X74)</f>
      </c>
      <c r="Z74" s="11">
        <v>145</v>
      </c>
      <c r="AA74" s="11">
        <v>6.9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</row>
    <row r="75" ht="18" customHeight="1" spans="1:38" x14ac:dyDescent="0.25">
      <c r="A75" s="3" t="s">
        <v>37</v>
      </c>
      <c r="B75" s="3" t="s">
        <v>38</v>
      </c>
      <c r="C75" s="3" t="s">
        <v>39</v>
      </c>
      <c r="D75" s="3" t="s">
        <v>40</v>
      </c>
      <c r="E75" s="3" t="s">
        <v>471</v>
      </c>
      <c r="F75" s="3" t="s">
        <v>472</v>
      </c>
      <c r="G75" s="3" t="s">
        <v>473</v>
      </c>
      <c r="H75" s="3" t="s">
        <v>474</v>
      </c>
      <c r="I75" s="3" t="s">
        <v>257</v>
      </c>
      <c r="J75" s="3" t="s">
        <v>475</v>
      </c>
      <c r="K75" s="5" t="s">
        <v>159</v>
      </c>
      <c r="L75" s="5" t="s">
        <v>64</v>
      </c>
      <c r="M75" s="5" t="s">
        <v>476</v>
      </c>
      <c r="N75" s="3" t="s">
        <v>115</v>
      </c>
      <c r="O75" s="6">
        <v>81746</v>
      </c>
      <c r="P75" s="6">
        <v>82946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46167.356944444444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109.8</v>
      </c>
      <c r="AG75" s="12">
        <f>SUM(AB75:AF75)</f>
      </c>
      <c r="AH75" s="3"/>
      <c r="AI75" s="3"/>
      <c r="AJ75" s="3"/>
      <c r="AK75" s="3"/>
      <c r="AL75" s="3"/>
    </row>
    <row r="76" ht="18" customHeight="1" spans="1:38" x14ac:dyDescent="0.25">
      <c r="A76" s="3" t="s">
        <v>37</v>
      </c>
      <c r="B76" s="3" t="s">
        <v>38</v>
      </c>
      <c r="C76" s="3" t="s">
        <v>39</v>
      </c>
      <c r="D76" s="3" t="s">
        <v>110</v>
      </c>
      <c r="E76" s="3" t="s">
        <v>57</v>
      </c>
      <c r="F76" s="3" t="s">
        <v>477</v>
      </c>
      <c r="G76" s="4" t="s">
        <v>46</v>
      </c>
      <c r="H76" s="3" t="s">
        <v>478</v>
      </c>
      <c r="I76" s="3" t="s">
        <v>479</v>
      </c>
      <c r="J76" s="4" t="s">
        <v>46</v>
      </c>
      <c r="K76" s="5" t="s">
        <v>159</v>
      </c>
      <c r="L76" s="5" t="s">
        <v>64</v>
      </c>
      <c r="M76" s="5" t="s">
        <v>65</v>
      </c>
      <c r="N76" s="4" t="s">
        <v>46</v>
      </c>
      <c r="O76" s="6">
        <v>0</v>
      </c>
      <c r="P76" s="6">
        <v>0</v>
      </c>
      <c r="Q76" s="6">
        <f>P76-O76</f>
      </c>
      <c r="R76" s="7">
        <v>100</v>
      </c>
      <c r="S76" s="6">
        <f>IF(Q76-R76&lt;0,"0",Q76-R76)</f>
      </c>
      <c r="T76" s="6">
        <v>0</v>
      </c>
      <c r="U76" s="8">
        <v>46166.16666666667</v>
      </c>
      <c r="V76" s="8">
        <v>46166.370833333334</v>
      </c>
      <c r="W76" s="9">
        <f>V76-U76</f>
      </c>
      <c r="X76" s="10">
        <v>0.125</v>
      </c>
      <c r="Y76" s="9">
        <f>IF(W76-X76&lt;0,"00:00:00",W76-X76)</f>
      </c>
      <c r="Z76" s="11">
        <v>145</v>
      </c>
      <c r="AA76" s="11">
        <v>6.9</v>
      </c>
      <c r="AB76" s="12">
        <f>Y76*Z76*24</f>
      </c>
      <c r="AC76" s="12">
        <f>S76*AA76</f>
      </c>
      <c r="AD76" s="12">
        <f>T76*AA76</f>
      </c>
      <c r="AE76" s="11">
        <v>690</v>
      </c>
      <c r="AF76" s="12">
        <v>0</v>
      </c>
      <c r="AG76" s="12">
        <f>SUM(AB76:AF76)</f>
      </c>
      <c r="AH76" s="3"/>
      <c r="AI76" s="3"/>
      <c r="AJ76" s="3"/>
      <c r="AK76" s="3"/>
      <c r="AL76" s="3"/>
    </row>
    <row r="77" ht="18" customHeight="1" spans="1:38" x14ac:dyDescent="0.25">
      <c r="A77" s="3" t="s">
        <v>37</v>
      </c>
      <c r="B77" s="3" t="s">
        <v>38</v>
      </c>
      <c r="C77" s="3" t="s">
        <v>39</v>
      </c>
      <c r="D77" s="3" t="s">
        <v>40</v>
      </c>
      <c r="E77" s="3" t="s">
        <v>57</v>
      </c>
      <c r="F77" s="3" t="s">
        <v>480</v>
      </c>
      <c r="G77" s="3" t="s">
        <v>481</v>
      </c>
      <c r="H77" s="3" t="s">
        <v>482</v>
      </c>
      <c r="I77" s="3" t="s">
        <v>483</v>
      </c>
      <c r="J77" s="4" t="s">
        <v>46</v>
      </c>
      <c r="K77" s="5" t="s">
        <v>159</v>
      </c>
      <c r="L77" s="5" t="s">
        <v>64</v>
      </c>
      <c r="M77" s="5" t="s">
        <v>65</v>
      </c>
      <c r="N77" s="4" t="s">
        <v>46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46166.41666666667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6.9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</row>
    <row r="78" ht="18" customHeight="1" spans="1:38" x14ac:dyDescent="0.25">
      <c r="A78" s="3" t="s">
        <v>37</v>
      </c>
      <c r="B78" s="3" t="s">
        <v>38</v>
      </c>
      <c r="C78" s="3" t="s">
        <v>39</v>
      </c>
      <c r="D78" s="3" t="s">
        <v>40</v>
      </c>
      <c r="E78" s="3" t="s">
        <v>405</v>
      </c>
      <c r="F78" s="3" t="s">
        <v>484</v>
      </c>
      <c r="G78" s="3" t="s">
        <v>485</v>
      </c>
      <c r="H78" s="3" t="s">
        <v>486</v>
      </c>
      <c r="I78" s="3" t="s">
        <v>487</v>
      </c>
      <c r="J78" s="3" t="s">
        <v>488</v>
      </c>
      <c r="K78" s="5" t="s">
        <v>159</v>
      </c>
      <c r="L78" s="5" t="s">
        <v>64</v>
      </c>
      <c r="M78" s="5" t="s">
        <v>424</v>
      </c>
      <c r="N78" s="3" t="s">
        <v>101</v>
      </c>
      <c r="O78" s="6">
        <v>221488</v>
      </c>
      <c r="P78" s="6">
        <v>222688</v>
      </c>
      <c r="Q78" s="6">
        <f>P78-O78</f>
      </c>
      <c r="R78" s="7">
        <v>1200</v>
      </c>
      <c r="S78" s="6">
        <f>IF(Q78-R78&lt;0,"0",Q78-R78)</f>
      </c>
      <c r="T78" s="6">
        <v>0</v>
      </c>
      <c r="U78" s="8">
        <v>46165.834027777775</v>
      </c>
      <c r="V78" s="8">
        <v>46167.38055555556</v>
      </c>
      <c r="W78" s="9">
        <f>V78-U78</f>
      </c>
      <c r="X78" s="10">
        <v>1.25</v>
      </c>
      <c r="Y78" s="9">
        <f>IF(W78-X78&lt;0,"00:00:00",W78-X78)</f>
      </c>
      <c r="Z78" s="11">
        <v>145</v>
      </c>
      <c r="AA78" s="11">
        <v>6.9</v>
      </c>
      <c r="AB78" s="12">
        <f>Y78*Z78*24</f>
      </c>
      <c r="AC78" s="12">
        <f>S78*AA78</f>
      </c>
      <c r="AD78" s="12">
        <f>T78*AA78</f>
      </c>
      <c r="AE78" s="11">
        <v>8280</v>
      </c>
      <c r="AF78" s="12">
        <v>138.5</v>
      </c>
      <c r="AG78" s="12">
        <f>SUM(AB78:AF78)</f>
      </c>
      <c r="AH78" s="3"/>
      <c r="AI78" s="3"/>
      <c r="AJ78" s="3"/>
      <c r="AK78" s="3"/>
      <c r="AL78" s="3"/>
    </row>
    <row r="79" ht="18" customHeight="1" spans="1:38" x14ac:dyDescent="0.25">
      <c r="A79" s="3" t="s">
        <v>37</v>
      </c>
      <c r="B79" s="3" t="s">
        <v>38</v>
      </c>
      <c r="C79" s="3" t="s">
        <v>39</v>
      </c>
      <c r="D79" s="3" t="s">
        <v>40</v>
      </c>
      <c r="E79" s="3" t="s">
        <v>57</v>
      </c>
      <c r="F79" s="3" t="s">
        <v>489</v>
      </c>
      <c r="G79" s="3" t="s">
        <v>490</v>
      </c>
      <c r="H79" s="3" t="s">
        <v>491</v>
      </c>
      <c r="I79" s="3" t="s">
        <v>341</v>
      </c>
      <c r="J79" s="3" t="s">
        <v>492</v>
      </c>
      <c r="K79" s="5" t="s">
        <v>63</v>
      </c>
      <c r="L79" s="5" t="s">
        <v>64</v>
      </c>
      <c r="M79" s="5" t="s">
        <v>65</v>
      </c>
      <c r="N79" s="4" t="s">
        <v>46</v>
      </c>
      <c r="O79" s="6">
        <v>78707</v>
      </c>
      <c r="P79" s="6">
        <v>78807</v>
      </c>
      <c r="Q79" s="6">
        <f>P79-O79</f>
      </c>
      <c r="R79" s="7">
        <v>100</v>
      </c>
      <c r="S79" s="6">
        <f>IF(Q79-R79&lt;0,"0",Q79-R79)</f>
      </c>
      <c r="T79" s="6">
        <v>0</v>
      </c>
      <c r="U79" s="8">
        <v>46166.75</v>
      </c>
      <c r="V79" s="8">
        <v>46166.92847222222</v>
      </c>
      <c r="W79" s="9">
        <f>V79-U79</f>
      </c>
      <c r="X79" s="10">
        <v>0.125</v>
      </c>
      <c r="Y79" s="9">
        <f>IF(W79-X79&lt;0,"00:00:00",W79-X79)</f>
      </c>
      <c r="Z79" s="11">
        <v>145</v>
      </c>
      <c r="AA79" s="11">
        <v>6.9</v>
      </c>
      <c r="AB79" s="12">
        <f>Y79*Z79*24</f>
      </c>
      <c r="AC79" s="12">
        <f>S79*AA79</f>
      </c>
      <c r="AD79" s="12">
        <f>T79*AA79</f>
      </c>
      <c r="AE79" s="11">
        <v>690</v>
      </c>
      <c r="AF79" s="12">
        <v>10.9</v>
      </c>
      <c r="AG79" s="12">
        <f>SUM(AB79:AF79)</f>
      </c>
      <c r="AH79" s="3"/>
      <c r="AI79" s="3"/>
      <c r="AJ79" s="3"/>
      <c r="AK79" s="3"/>
      <c r="AL79" s="3"/>
    </row>
    <row r="80" ht="18" customHeight="1" spans="1:38" x14ac:dyDescent="0.25">
      <c r="A80" s="3" t="s">
        <v>37</v>
      </c>
      <c r="B80" s="3" t="s">
        <v>38</v>
      </c>
      <c r="C80" s="3" t="s">
        <v>39</v>
      </c>
      <c r="D80" s="3" t="s">
        <v>110</v>
      </c>
      <c r="E80" s="3" t="s">
        <v>148</v>
      </c>
      <c r="F80" s="3" t="s">
        <v>493</v>
      </c>
      <c r="G80" s="4" t="s">
        <v>46</v>
      </c>
      <c r="H80" s="3" t="s">
        <v>494</v>
      </c>
      <c r="I80" s="3" t="s">
        <v>495</v>
      </c>
      <c r="J80" s="3" t="s">
        <v>496</v>
      </c>
      <c r="K80" s="5" t="s">
        <v>497</v>
      </c>
      <c r="L80" s="5" t="s">
        <v>48</v>
      </c>
      <c r="M80" s="5" t="s">
        <v>109</v>
      </c>
      <c r="N80" s="3" t="s">
        <v>64</v>
      </c>
      <c r="O80" s="6">
        <v>0</v>
      </c>
      <c r="P80" s="6">
        <v>0</v>
      </c>
      <c r="Q80" s="6">
        <f>P80-O80</f>
      </c>
      <c r="R80" s="7">
        <v>100</v>
      </c>
      <c r="S80" s="6">
        <f>IF(Q80-R80&lt;0,"0",Q80-R80)</f>
      </c>
      <c r="T80" s="6">
        <v>0</v>
      </c>
      <c r="U80" s="8">
        <v>46166.75</v>
      </c>
      <c r="V80" s="8">
        <v>46166.875</v>
      </c>
      <c r="W80" s="9">
        <f>V80-U80</f>
      </c>
      <c r="X80" s="10">
        <v>0.125</v>
      </c>
      <c r="Y80" s="9">
        <f>IF(W80-X80&lt;0,"00:00:00",W80-X80)</f>
      </c>
      <c r="Z80" s="11">
        <v>145</v>
      </c>
      <c r="AA80" s="11">
        <v>7.35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2026-05-29T18:54:33Z</dcterms:created>
  <dcterms:modified xsi:type="dcterms:W3CDTF">2026-05-29T18:54:33Z</dcterms:modified>
</cp:coreProperties>
</file>