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<sst xmlns="http://schemas.openxmlformats.org/spreadsheetml/2006/main" count="2890" uniqueCount="1002">
  <si>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</si>
  <si>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</si>
  <si>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</si>
  <si>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</si>
  <si>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</si>
  <si>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</si>
  <si>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</si>
  <si>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</si>
  <si>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</si>
  <si>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</si>
  <si>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</si>
  <si>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</si>
  <si>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</si>
  <si>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</si>
  <si>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</si>
  <si>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</si>
  <si>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</si>
  <si>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</si>
  <si>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</si>
  <si>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</si>
  <si>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</si>
  <si>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</si>
  <si>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</si>
  <si>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</si>
  <si>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</si>
  <si>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</si>
  <si>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</si>
  <si>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</si>
  <si>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</si>
  <si>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</si>
  <si>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</si>
  <si>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</si>
  <si>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</si>
  <si>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</si>
  <si>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</si>
  <si>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</si>
  <si>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</si>
  <si>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TABELA APLICADA</t>
  </si>
  <si>
    <t>TM SEG</t>
  </si>
  <si>
    <t>18/05/2026 à 30/06/2026</t>
  </si>
  <si>
    <t>DHL</t>
  </si>
  <si>
    <t>FINALIZADA</t>
  </si>
  <si>
    <t>DISTRIBUIÇÃO SC</t>
  </si>
  <si>
    <t>178922</t>
  </si>
  <si>
    <t>1553642</t>
  </si>
  <si>
    <t>5019</t>
  </si>
  <si>
    <t>QCH6C12</t>
  </si>
  <si>
    <t/>
  </si>
  <si>
    <t>FLORIANÓPOLIS, SC</t>
  </si>
  <si>
    <t>SC</t>
  </si>
  <si>
    <t>SUL - 100KM</t>
  </si>
  <si>
    <t>DISTRIBUIÇÃO RJ</t>
  </si>
  <si>
    <t>178954</t>
  </si>
  <si>
    <t>1553785,1553785</t>
  </si>
  <si>
    <t>5036</t>
  </si>
  <si>
    <t>TYS6H54</t>
  </si>
  <si>
    <t>KVT8400</t>
  </si>
  <si>
    <t>RIO DE JANEIRO, RJ</t>
  </si>
  <si>
    <t>RJ</t>
  </si>
  <si>
    <t>SUDESTE - 100KM</t>
  </si>
  <si>
    <t>RAIO SP 200 KM</t>
  </si>
  <si>
    <t>178955</t>
  </si>
  <si>
    <t>1553385</t>
  </si>
  <si>
    <t>5022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</si>
  <si>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</si>
  <si>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</si>
  <si>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</si>
  <si>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</si>
  <si>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</si>
  <si>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SUDESTE - BARUERI-CAJAMAR 100KM</t>
  </si>
  <si>
    <t>178961</t>
  </si>
  <si>
    <t>1554468</t>
  </si>
  <si>
    <t>5037</t>
  </si>
  <si>
    <t>TYS6I69</t>
  </si>
  <si>
    <t>SEE5I43</t>
  </si>
  <si>
    <t>CANCELADA</t>
  </si>
  <si>
    <t>178962</t>
  </si>
  <si>
    <t>1553222</t>
  </si>
  <si>
    <t>5023</t>
  </si>
  <si>
    <t>ESTR. DOS ALPES, 320 - JARDIM ITAQUITI, BARUERI - SP, 06423-080</t>
  </si>
  <si>
    <t>SUDESTE - CAJAMAR-RIO DE JANEIRO 200KM</t>
  </si>
  <si>
    <t>DISTRIBUIÇÃO GO</t>
  </si>
  <si>
    <t>178974</t>
  </si>
  <si>
    <t>1554004</t>
  </si>
  <si>
    <t>5038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</si>
  <si>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</si>
  <si>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</si>
  <si>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</si>
  <si>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</si>
  <si>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</si>
  <si>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CENTRO-OESTE - 100KM</t>
  </si>
  <si>
    <t>RAIO ES 300 KM</t>
  </si>
  <si>
    <t>178976</t>
  </si>
  <si>
    <t>1554038,1554038,1554038</t>
  </si>
  <si>
    <t>5024</t>
  </si>
  <si>
    <t>EFW9H63</t>
  </si>
  <si>
    <t>ISP2I52</t>
  </si>
  <si>
    <t>R. 4E - CIVIT II, SERRA - ES, 29168-082</t>
  </si>
  <si>
    <t>ES</t>
  </si>
  <si>
    <t>RAIO 300 KM — DESTINO A DEFINIR</t>
  </si>
  <si>
    <t>SUDESTE - RAIO ES 300KM</t>
  </si>
  <si>
    <t>DISTRIBUIÇÃO RS</t>
  </si>
  <si>
    <t>178983</t>
  </si>
  <si>
    <t>1554130</t>
  </si>
  <si>
    <t>5030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</si>
  <si>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</si>
  <si>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</si>
  <si>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</si>
  <si>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</si>
  <si>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</si>
  <si>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178991</t>
  </si>
  <si>
    <t>1555337</t>
  </si>
  <si>
    <t>5040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</si>
  <si>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</si>
  <si>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</si>
  <si>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</si>
  <si>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</si>
  <si>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</si>
  <si>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</si>
  <si>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178992</t>
  </si>
  <si>
    <t>5039</t>
  </si>
  <si>
    <t>POUSO ALEGRE, MG, 37550-000</t>
  </si>
  <si>
    <t>MG</t>
  </si>
  <si>
    <t>DISTRIBUIÇÃO SP</t>
  </si>
  <si>
    <t>178994</t>
  </si>
  <si>
    <t>1552245</t>
  </si>
  <si>
    <t>5043</t>
  </si>
  <si>
    <t>UGU6E48</t>
  </si>
  <si>
    <t>DHL5F75</t>
  </si>
  <si>
    <t>AEROPORTO, GUARULHOS - SP</t>
  </si>
  <si>
    <t>AV. TAMBORE, 1400 - 1440 - ALPHAVILLE, BARUERI - SP, 06460-000</t>
  </si>
  <si>
    <t>SUDESTE - JUNDIAI-GUARULHOS 100KM</t>
  </si>
  <si>
    <t>178995</t>
  </si>
  <si>
    <t>5042</t>
  </si>
  <si>
    <t>TEE3H07</t>
  </si>
  <si>
    <t>178996</t>
  </si>
  <si>
    <t>5041</t>
  </si>
  <si>
    <t>TEE3H27</t>
  </si>
  <si>
    <t>178997</t>
  </si>
  <si>
    <t>1554830</t>
  </si>
  <si>
    <t>5045</t>
  </si>
  <si>
    <t>QSP5J12</t>
  </si>
  <si>
    <t>FZP1E40</t>
  </si>
  <si>
    <t>JANDIRA, SP</t>
  </si>
  <si>
    <t>__AUTO_MASTER__ SUDESTE</t>
  </si>
  <si>
    <t>178999</t>
  </si>
  <si>
    <t>1554722,1554722</t>
  </si>
  <si>
    <t>5044</t>
  </si>
  <si>
    <t>QOT6013</t>
  </si>
  <si>
    <t>FFD2F77</t>
  </si>
  <si>
    <t>RAIO MG 200 KM</t>
  </si>
  <si>
    <t>179018</t>
  </si>
  <si>
    <t>1555784</t>
  </si>
  <si>
    <t>5062</t>
  </si>
  <si>
    <t>GCG5H13</t>
  </si>
  <si>
    <t>GBB2C77</t>
  </si>
  <si>
    <t>ROD. FERNÃO DIAS, 221 - EXTREMA, MG, 37418-760</t>
  </si>
  <si>
    <t>RAIO SC 500 KM</t>
  </si>
  <si>
    <t>179025</t>
  </si>
  <si>
    <t>1554873</t>
  </si>
  <si>
    <t>5051</t>
  </si>
  <si>
    <t>SBE0G46</t>
  </si>
  <si>
    <t>R. VER. GERMANO LUÍS VIÊIRA, 1-1300 - ITAIPAVA, ITAJAÍ - SC, 88316-701</t>
  </si>
  <si>
    <t>AV. CECI, 1900 - JARDIM MUTINGA, BARUERI - SP, 06460-120</t>
  </si>
  <si>
    <t>SUL - RAIO PR 500KM</t>
  </si>
  <si>
    <t>179027</t>
  </si>
  <si>
    <t>1554944</t>
  </si>
  <si>
    <t>5053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</si>
  <si>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</si>
  <si>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</si>
  <si>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</si>
  <si>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</si>
  <si>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SUDESTE - BARUERI-FORTALEZA 2970KM</t>
  </si>
  <si>
    <t>179033</t>
  </si>
  <si>
    <t>1556227</t>
  </si>
  <si>
    <t>5067</t>
  </si>
  <si>
    <t>RFY7C15</t>
  </si>
  <si>
    <t>ENI5A67</t>
  </si>
  <si>
    <t>AV. CAMINHO DE GOIÁS, 100 - JARDIM SAO BENTO, JUNDIAÍ - SP, 13214-870</t>
  </si>
  <si>
    <t>RAIO 100 KM — DESTINO A DEFINIR</t>
  </si>
  <si>
    <t>179038</t>
  </si>
  <si>
    <t>1555044</t>
  </si>
  <si>
    <t>5065</t>
  </si>
  <si>
    <t>UDD1C04</t>
  </si>
  <si>
    <t>ESU8062</t>
  </si>
  <si>
    <t>179039</t>
  </si>
  <si>
    <t>1554728,1554728</t>
  </si>
  <si>
    <t>5057</t>
  </si>
  <si>
    <t>UED5C46</t>
  </si>
  <si>
    <t>GIE0I11</t>
  </si>
  <si>
    <t>ROD. VICE PREF. HERMENEGILDO TONOLI - MEDEIROS, JUNDIAÍ - SP</t>
  </si>
  <si>
    <t>ESTR. MUN. JOSÉ SEDANO - TECHNO PARK, CAMPINAS - SP</t>
  </si>
  <si>
    <t>179041</t>
  </si>
  <si>
    <t>1555239,1555239</t>
  </si>
  <si>
    <t>5056</t>
  </si>
  <si>
    <t>GUARULHOS-SERRA</t>
  </si>
  <si>
    <t>179048</t>
  </si>
  <si>
    <t>1555004</t>
  </si>
  <si>
    <t>5070</t>
  </si>
  <si>
    <t>SHI3B20</t>
  </si>
  <si>
    <t>LKU9E00</t>
  </si>
  <si>
    <t>SERRA, ES</t>
  </si>
  <si>
    <t>SUDESTE - GUARULHOS-SERRA 758KM</t>
  </si>
  <si>
    <t>179049</t>
  </si>
  <si>
    <t>1554731</t>
  </si>
  <si>
    <t>5058</t>
  </si>
  <si>
    <t>TXW5H42</t>
  </si>
  <si>
    <t>DPE4F99</t>
  </si>
  <si>
    <t>179050</t>
  </si>
  <si>
    <t>1555002</t>
  </si>
  <si>
    <t>5069</t>
  </si>
  <si>
    <t>QNN1F85</t>
  </si>
  <si>
    <t>GBK8I71</t>
  </si>
  <si>
    <t>179052</t>
  </si>
  <si>
    <t>1555156,1555156</t>
  </si>
  <si>
    <t>5071</t>
  </si>
  <si>
    <t>UER7D08</t>
  </si>
  <si>
    <t>QJE8226</t>
  </si>
  <si>
    <t>RAIO SP 400 KM</t>
  </si>
  <si>
    <t>179056</t>
  </si>
  <si>
    <t>1555042</t>
  </si>
  <si>
    <t>5061</t>
  </si>
  <si>
    <t>TEE3G85</t>
  </si>
  <si>
    <t>RAIO 400 KM — DESTINO A DEFINIR</t>
  </si>
  <si>
    <t>SUDESTE - RAIO ES 400KM</t>
  </si>
  <si>
    <t>179080</t>
  </si>
  <si>
    <t>1555393</t>
  </si>
  <si>
    <t>5068</t>
  </si>
  <si>
    <t>TJC1H27</t>
  </si>
  <si>
    <t>PXA5I78</t>
  </si>
  <si>
    <t>SUDESTE - 900KM</t>
  </si>
  <si>
    <t>179084</t>
  </si>
  <si>
    <t>1555614</t>
  </si>
  <si>
    <t>5073</t>
  </si>
  <si>
    <t>UGE6F20</t>
  </si>
  <si>
    <t>LPT9C46</t>
  </si>
  <si>
    <t>SÃO PAULO, SP</t>
  </si>
  <si>
    <t>179087</t>
  </si>
  <si>
    <t>1555627</t>
  </si>
  <si>
    <t>5074</t>
  </si>
  <si>
    <t>IYT1G31</t>
  </si>
  <si>
    <t>IQM2H22</t>
  </si>
  <si>
    <t>SUL - DISTRIBUIÇÃO RS 100KM</t>
  </si>
  <si>
    <t>DISTRIBUIÇÃO DF</t>
  </si>
  <si>
    <t>179088</t>
  </si>
  <si>
    <t>1555669</t>
  </si>
  <si>
    <t>5076</t>
  </si>
  <si>
    <t>SIS6B65</t>
  </si>
  <si>
    <t>JAS0D14</t>
  </si>
  <si>
    <t>LAGO SUL, BRASÍLIA - DF, 71608-900</t>
  </si>
  <si>
    <t>DF</t>
  </si>
  <si>
    <t>BRASÍLIA - DF</t>
  </si>
  <si>
    <t>179098</t>
  </si>
  <si>
    <t>1555438</t>
  </si>
  <si>
    <t>5078</t>
  </si>
  <si>
    <t>EDU9459</t>
  </si>
  <si>
    <t>BCN2A46</t>
  </si>
  <si>
    <t>179099</t>
  </si>
  <si>
    <t>1556042</t>
  </si>
  <si>
    <t>5080</t>
  </si>
  <si>
    <t>UGB6J68</t>
  </si>
  <si>
    <t>GFD0160</t>
  </si>
  <si>
    <t>179117</t>
  </si>
  <si>
    <t>1556316</t>
  </si>
  <si>
    <t>5097</t>
  </si>
  <si>
    <t>UGL7E48</t>
  </si>
  <si>
    <t>UER1B84</t>
  </si>
  <si>
    <t>AV. TALMA RODRIGUES RIBEIRO, 147 - VILA NOVA DE COLARES, SERRA - ES, 29172-038</t>
  </si>
  <si>
    <t>ITAPEVI-SÃO PAULO</t>
  </si>
  <si>
    <t>179123</t>
  </si>
  <si>
    <t>1556626</t>
  </si>
  <si>
    <t>5085</t>
  </si>
  <si>
    <t>TJK6D06</t>
  </si>
  <si>
    <t>FOE8C24</t>
  </si>
  <si>
    <t>ROD. CEL. PM NELSON TRANCHESI, 1730 - ITAQUI, ITAPEVI - SP, 06696-110</t>
  </si>
  <si>
    <t>DISTRIBUIÇÃO ES</t>
  </si>
  <si>
    <t>179133</t>
  </si>
  <si>
    <t>1557674</t>
  </si>
  <si>
    <t>5115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</si>
  <si>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</si>
  <si>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</si>
  <si>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</si>
  <si>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</si>
  <si>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</si>
  <si>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179137</t>
  </si>
  <si>
    <t>1556717</t>
  </si>
  <si>
    <t>5093</t>
  </si>
  <si>
    <t>PXX8662</t>
  </si>
  <si>
    <t>FAZENDA GRANDE, JUNDIAÍ - SP, 13213</t>
  </si>
  <si>
    <t>AV. WASHINGTON LUÍS, S/N - JARDIM AEROPORTO, SÃO PAULO - SP, 04626-000</t>
  </si>
  <si>
    <t>179138</t>
  </si>
  <si>
    <t>5094</t>
  </si>
  <si>
    <t>179147</t>
  </si>
  <si>
    <t>1556804,1556804</t>
  </si>
  <si>
    <t>5104</t>
  </si>
  <si>
    <t>PYO4B63</t>
  </si>
  <si>
    <t>SXI7D62</t>
  </si>
  <si>
    <t>AV. DEP. DIOMÍCIO FREITAS, 3125 - CARIANOS, FLORIANÓPOLIS - SC, 88047-402</t>
  </si>
  <si>
    <t>SC-407, 2800 - VENDAVAL, BIGUAÇU - SC, 88164-169</t>
  </si>
  <si>
    <t>179182</t>
  </si>
  <si>
    <t>1556625,1556625</t>
  </si>
  <si>
    <t>5116</t>
  </si>
  <si>
    <t>179187</t>
  </si>
  <si>
    <t>1557270,1557270</t>
  </si>
  <si>
    <t>5117</t>
  </si>
  <si>
    <t>GDZ7I93</t>
  </si>
  <si>
    <t>FAO7H13</t>
  </si>
  <si>
    <t>EXTREMA-PORTO ALEGRE</t>
  </si>
  <si>
    <t>179202</t>
  </si>
  <si>
    <t>1557759</t>
  </si>
  <si>
    <t>5123</t>
  </si>
  <si>
    <t>SYR0J20</t>
  </si>
  <si>
    <t>DHL5F48</t>
  </si>
  <si>
    <t>VARGINHA, MG</t>
  </si>
  <si>
    <t>SANTA ROSA, RS</t>
  </si>
  <si>
    <t>SUDESTE - ITAPEVI-COTIA 34KM</t>
  </si>
  <si>
    <t>HORTOLÂNDIA-BARUERI</t>
  </si>
  <si>
    <t>179204</t>
  </si>
  <si>
    <t>1557942</t>
  </si>
  <si>
    <t>5124</t>
  </si>
  <si>
    <t>CUA6D75</t>
  </si>
  <si>
    <t>AV. DA EMANCIPAÇÃO, 5000 - PARQUE DOS PINHEIROS, HORTOLÂNDIA - SP, 13184-654</t>
  </si>
  <si>
    <t>RAIO RS 500 KM</t>
  </si>
  <si>
    <t>179205</t>
  </si>
  <si>
    <t>1557740</t>
  </si>
  <si>
    <t>5127</t>
  </si>
  <si>
    <t>IMS3H22</t>
  </si>
  <si>
    <t>AV. BORGES DE MEDEIROS, 1771 - COLONIAL, SAPUCAIA DO SUL - RS, 93212-110</t>
  </si>
  <si>
    <t>RAIO 500 KM — DESTINO A DEFINIR</t>
  </si>
  <si>
    <t>DISTRIBUIÇÃO PR</t>
  </si>
  <si>
    <t>179209</t>
  </si>
  <si>
    <t>1557837</t>
  </si>
  <si>
    <t>5128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</si>
  <si>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</si>
  <si>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</si>
  <si>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</si>
  <si>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</si>
  <si>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</si>
  <si>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</si>
  <si>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179227</t>
  </si>
  <si>
    <t>1559092</t>
  </si>
  <si>
    <t>5133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</si>
  <si>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</si>
  <si>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</si>
  <si>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</si>
  <si>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</si>
  <si>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</si>
  <si>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NORDESTE - 100KM</t>
  </si>
  <si>
    <t>179228</t>
  </si>
  <si>
    <t>1558002</t>
  </si>
  <si>
    <t>5134</t>
  </si>
  <si>
    <t>BDW0G94</t>
  </si>
  <si>
    <t>RLN3I04</t>
  </si>
  <si>
    <t>R. VER. GERMANO LUÍS VIÊIRA - ITAIPAVA, ITAJAÍ - SC</t>
  </si>
  <si>
    <t>AV. CECI - TAMBORÉ, BARUERI - SP, 06460-120</t>
  </si>
  <si>
    <t>179230</t>
  </si>
  <si>
    <t>1558472,1558472</t>
  </si>
  <si>
    <t>5137</t>
  </si>
  <si>
    <t>UDP9A18</t>
  </si>
  <si>
    <t>179234</t>
  </si>
  <si>
    <t>5135</t>
  </si>
  <si>
    <t>DISTRIBUIÇÃO MG</t>
  </si>
  <si>
    <t>179236</t>
  </si>
  <si>
    <t>5136</t>
  </si>
  <si>
    <t>OPP0C52</t>
  </si>
  <si>
    <t>LMG-800, KM 7.9, S/N - RODOVIARIO, CONFINS - MG, 33500-000</t>
  </si>
  <si>
    <t>DISTRIBUIÇÃO BA</t>
  </si>
  <si>
    <t>179237</t>
  </si>
  <si>
    <t>1558973,1558973</t>
  </si>
  <si>
    <t>5140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</si>
  <si>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</si>
  <si>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</si>
  <si>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</si>
  <si>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</si>
  <si>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</si>
  <si>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</si>
  <si>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179239</t>
  </si>
  <si>
    <t>1558037</t>
  </si>
  <si>
    <t>5138</t>
  </si>
  <si>
    <t>ROD. FERNÃO DIAS, KM 947 - PIRES, EXTREMA - MG, 37640-000</t>
  </si>
  <si>
    <t>179240</t>
  </si>
  <si>
    <t>1558427,1558427</t>
  </si>
  <si>
    <t>5139</t>
  </si>
  <si>
    <t>ROD. FERNÃO DIAS</t>
  </si>
  <si>
    <t>179253</t>
  </si>
  <si>
    <t>1559316</t>
  </si>
  <si>
    <t>5147</t>
  </si>
  <si>
    <t>FQO6B16</t>
  </si>
  <si>
    <t>ROD. SANTOS DUMONT, KM 66 - PARQUE UNIVERSITARIO DE VIRACOPOS, CAMPINAS - SP, 13055-900</t>
  </si>
  <si>
    <t>RAIO GO 200 KM</t>
  </si>
  <si>
    <t>179254</t>
  </si>
  <si>
    <t>1558252</t>
  </si>
  <si>
    <t>5149</t>
  </si>
  <si>
    <t>TFR6D49</t>
  </si>
  <si>
    <t>AV. NORBERTO JOSÉ TEIXEIRA - APARECIDA DE GOIÂNIA, GO</t>
  </si>
  <si>
    <t>CENTRO-OESTE - RAIO DF 200KM</t>
  </si>
  <si>
    <t>BARUERI-BRASILIA</t>
  </si>
  <si>
    <t>179256</t>
  </si>
  <si>
    <t>1558026</t>
  </si>
  <si>
    <t>5150</t>
  </si>
  <si>
    <t>AXJ7C64</t>
  </si>
  <si>
    <t>BRASÍLIA - PLANO PILOTO, BRASÍLIA - DF</t>
  </si>
  <si>
    <t>SUDESTE - 1000KM</t>
  </si>
  <si>
    <t>179258</t>
  </si>
  <si>
    <t>1558016</t>
  </si>
  <si>
    <t>5151</t>
  </si>
  <si>
    <t>AIL9G83</t>
  </si>
  <si>
    <t>179275</t>
  </si>
  <si>
    <t>1559216</t>
  </si>
  <si>
    <t>5152</t>
  </si>
  <si>
    <t>EFO2H92</t>
  </si>
  <si>
    <t>179276</t>
  </si>
  <si>
    <t>1558709</t>
  </si>
  <si>
    <t>5156</t>
  </si>
  <si>
    <t>QUF7J47</t>
  </si>
  <si>
    <t>IYN2H16</t>
  </si>
  <si>
    <t>SAPUCAIA DO SUL, RS</t>
  </si>
  <si>
    <t>PORTAL DA SERRA, DOIS IRMÃOS - RS, 93950-000</t>
  </si>
  <si>
    <t>179278</t>
  </si>
  <si>
    <t>1558720</t>
  </si>
  <si>
    <t>5155</t>
  </si>
  <si>
    <t>IYH5158</t>
  </si>
  <si>
    <t>MES9G07</t>
  </si>
  <si>
    <t>AV INDUSTRIAL BELGRAF</t>
  </si>
  <si>
    <t>ITAPEVI-PORTO ALEGRE</t>
  </si>
  <si>
    <t>179294</t>
  </si>
  <si>
    <t>1559032,1559032</t>
  </si>
  <si>
    <t>5159</t>
  </si>
  <si>
    <t>UFQ6F68</t>
  </si>
  <si>
    <t>DII5B09</t>
  </si>
  <si>
    <t>AV. INDUSTRIAL BELGRAF, 865 - BAIRRO INDUSTRIAL, ELDORADO DO SUL - RS, 92990-000</t>
  </si>
  <si>
    <t>SUDESTE - 1200KM</t>
  </si>
  <si>
    <t>179298</t>
  </si>
  <si>
    <t>1559272</t>
  </si>
  <si>
    <t>5160</t>
  </si>
  <si>
    <t>BDL9F88</t>
  </si>
  <si>
    <t>AV. SEVERO DULLIUS, 90010 - ANCHIETA, PORTO ALEGRE - RS, 90200-310</t>
  </si>
  <si>
    <t>179299</t>
  </si>
  <si>
    <t>5161</t>
  </si>
  <si>
    <t>179302</t>
  </si>
  <si>
    <t>1559270,1559270</t>
  </si>
  <si>
    <t>5166</t>
  </si>
  <si>
    <t>UDE1G87</t>
  </si>
  <si>
    <t>DHW6H63</t>
  </si>
  <si>
    <t>ESTR. DA PEDREIRA, 242 - PEDREIRA, NOVA SANTA RITA - RS, 92480-000</t>
  </si>
  <si>
    <t>SUDESTE - BARUERI-NOVA SANTA RITA 1158KM</t>
  </si>
  <si>
    <t>179321</t>
  </si>
  <si>
    <t>1559362,1559362,1559362,1559362</t>
  </si>
  <si>
    <t>5170</t>
  </si>
  <si>
    <t>EFO2432</t>
  </si>
  <si>
    <t>RAIO GO 300 KM</t>
  </si>
  <si>
    <t>179327</t>
  </si>
  <si>
    <t>1559177,1559177</t>
  </si>
  <si>
    <t>5172</t>
  </si>
  <si>
    <t>TCI5J35</t>
  </si>
  <si>
    <t>JAN1H26</t>
  </si>
  <si>
    <t>BARRAVENTO, GOIÂNIA - GO, 74594-111</t>
  </si>
  <si>
    <t>CENTRO-OESTE - RAIO DF 300KM</t>
  </si>
  <si>
    <t>179328</t>
  </si>
  <si>
    <t>1559571,1559571</t>
  </si>
  <si>
    <t>5173</t>
  </si>
  <si>
    <t>TCH8H54</t>
  </si>
  <si>
    <t>GDR8G97</t>
  </si>
  <si>
    <t>179330</t>
  </si>
  <si>
    <t>1559570,1559570,1559570,1559570</t>
  </si>
  <si>
    <t>5174</t>
  </si>
  <si>
    <t>UDK9E78</t>
  </si>
  <si>
    <t>HFD4611</t>
  </si>
  <si>
    <t>EXTREMA, MG, 37640-000</t>
  </si>
  <si>
    <t>SUDESTE - 200KM</t>
  </si>
  <si>
    <t>179331</t>
  </si>
  <si>
    <t>1559972</t>
  </si>
  <si>
    <t>5175</t>
  </si>
  <si>
    <t>RNP1H10</t>
  </si>
  <si>
    <t>179334</t>
  </si>
  <si>
    <t>1559319,1559319</t>
  </si>
  <si>
    <t>5176</t>
  </si>
  <si>
    <t>EKH7I85</t>
  </si>
  <si>
    <t>EXTREMA-CONTAGEM</t>
  </si>
  <si>
    <t>179335</t>
  </si>
  <si>
    <t>1559569,1559569,1559569</t>
  </si>
  <si>
    <t>5177</t>
  </si>
  <si>
    <t>GBS5F32</t>
  </si>
  <si>
    <t>GGS8H28</t>
  </si>
  <si>
    <t>EXTREMA - MG, 37640-000</t>
  </si>
  <si>
    <t>179350</t>
  </si>
  <si>
    <t>1560196</t>
  </si>
  <si>
    <t>5181</t>
  </si>
  <si>
    <t>RKD5I64</t>
  </si>
  <si>
    <t>179364</t>
  </si>
  <si>
    <t>1559861,1559861</t>
  </si>
  <si>
    <t>5182</t>
  </si>
  <si>
    <t>TKN2I22</t>
  </si>
  <si>
    <t>ERS1002</t>
  </si>
  <si>
    <t>BARUERI-BELO HORIZONTE</t>
  </si>
  <si>
    <t>179367</t>
  </si>
  <si>
    <t>1560388,1560388</t>
  </si>
  <si>
    <t>5183</t>
  </si>
  <si>
    <t>FDU1438</t>
  </si>
  <si>
    <t>BELO HORIZONTE, MG</t>
  </si>
  <si>
    <t>179370</t>
  </si>
  <si>
    <t>5187</t>
  </si>
  <si>
    <t>GJC1E94</t>
  </si>
  <si>
    <t>179371</t>
  </si>
  <si>
    <t>1560413</t>
  </si>
  <si>
    <t>5185</t>
  </si>
  <si>
    <t>IZK0H67</t>
  </si>
  <si>
    <t>SUDESTE - RAIO SP 200KM</t>
  </si>
  <si>
    <t>179372</t>
  </si>
  <si>
    <t>1560418</t>
  </si>
  <si>
    <t>5186</t>
  </si>
  <si>
    <t>IYK5768</t>
  </si>
  <si>
    <t>EMF5785</t>
  </si>
  <si>
    <t>SUDESTE - GUARULHOS-FORTALEZA 2927KM</t>
  </si>
  <si>
    <t>179383</t>
  </si>
  <si>
    <t>1560259</t>
  </si>
  <si>
    <t>5189</t>
  </si>
  <si>
    <t>EFV7A71</t>
  </si>
  <si>
    <t>179387</t>
  </si>
  <si>
    <t>5190</t>
  </si>
  <si>
    <t>OKG4C77</t>
  </si>
  <si>
    <t>QIH8B16</t>
  </si>
  <si>
    <t>R. VER. GERMANO LUÍS VIÊIRA, 500 - ITAIPAVA, ITAJAÍ - SC, 88316-701</t>
  </si>
  <si>
    <t>179397</t>
  </si>
  <si>
    <t>1560701,1560701</t>
  </si>
  <si>
    <t>5201</t>
  </si>
  <si>
    <t>UES3H48</t>
  </si>
  <si>
    <t>SUDESTE - GUARULHOS-CATALAO 653KM</t>
  </si>
  <si>
    <t>RAIO RS 200 KM</t>
  </si>
  <si>
    <t>179398</t>
  </si>
  <si>
    <t>1560658,1560658</t>
  </si>
  <si>
    <t>5202</t>
  </si>
  <si>
    <t>IYU7F17</t>
  </si>
  <si>
    <t>179399</t>
  </si>
  <si>
    <t>1560762</t>
  </si>
  <si>
    <t>5203</t>
  </si>
  <si>
    <t>179400</t>
  </si>
  <si>
    <t>1560766,1560766</t>
  </si>
  <si>
    <t>5206</t>
  </si>
  <si>
    <t>QJG3F51</t>
  </si>
  <si>
    <t>179401</t>
  </si>
  <si>
    <t>5207</t>
  </si>
  <si>
    <t>179427</t>
  </si>
  <si>
    <t>1561473</t>
  </si>
  <si>
    <t>5214</t>
  </si>
  <si>
    <t>DBM8E06</t>
  </si>
  <si>
    <t>ROD. HÉLIO SMIDT, S/Nº - CUMBICA, GUARULHOS - SP, 07140</t>
  </si>
  <si>
    <t>JUNDIAI-CAJAMAR</t>
  </si>
  <si>
    <t>179438</t>
  </si>
  <si>
    <t>1562578</t>
  </si>
  <si>
    <t>5223</t>
  </si>
  <si>
    <t>TXW5H39</t>
  </si>
  <si>
    <t>FTP3C53</t>
  </si>
  <si>
    <t>ROD. VICE PREF. HERMENEGILDO TONOLI, 1500 - AGLOMERAÇÃO URBANA DE JUNDIAÍ, JUNDIAÍ - SP, 13213-086</t>
  </si>
  <si>
    <t>CAJAMAR, SP</t>
  </si>
  <si>
    <t>179440</t>
  </si>
  <si>
    <t>1562546</t>
  </si>
  <si>
    <t>5224</t>
  </si>
  <si>
    <t>TXW5H44</t>
  </si>
  <si>
    <t>ANM7240</t>
  </si>
  <si>
    <t>SP-354, 1401 - VILA UNIAO, CAJAMAR - SP, 07750-000</t>
  </si>
  <si>
    <t>179442</t>
  </si>
  <si>
    <t>5225</t>
  </si>
  <si>
    <t>TXW5H55</t>
  </si>
  <si>
    <t>RAIO SC 200 KM</t>
  </si>
  <si>
    <t>179443</t>
  </si>
  <si>
    <t>1561425</t>
  </si>
  <si>
    <t>5222</t>
  </si>
  <si>
    <t>SUL - RAIO PR 200KM</t>
  </si>
  <si>
    <t>179446</t>
  </si>
  <si>
    <t>1562637</t>
  </si>
  <si>
    <t>5227</t>
  </si>
  <si>
    <t>QUN7H11</t>
  </si>
  <si>
    <t>R. PEDROSO ALVARENGA, 58 - CHÁCARA ITAIM, SÃO PAULO - SP, 04531-000</t>
  </si>
  <si>
    <t>179450</t>
  </si>
  <si>
    <t>1562043</t>
  </si>
  <si>
    <t>5234</t>
  </si>
  <si>
    <t>GIV2J67</t>
  </si>
  <si>
    <t>ROD. ANCHIETA, 820 - CHICO DE PAULA, SANTOS - SP, 11095-000</t>
  </si>
  <si>
    <t>179456</t>
  </si>
  <si>
    <t>5233</t>
  </si>
  <si>
    <t>EHH9B54</t>
  </si>
  <si>
    <t>179470</t>
  </si>
  <si>
    <t>1561882,1561882</t>
  </si>
  <si>
    <t>5236</t>
  </si>
  <si>
    <t>QOV8H20</t>
  </si>
  <si>
    <t>LRX5283</t>
  </si>
  <si>
    <t>PRAÇA CAP. FRAZÃO, 913 - SANTA GENOVEVA, GOIÂNIA - GO, 74672-410</t>
  </si>
  <si>
    <t>GOIÂNIA, GOIÂNIA - GO CEP - VILA MORAIS, GOIÂNIA - GO, 74620-430</t>
  </si>
  <si>
    <t>179481</t>
  </si>
  <si>
    <t>1561245</t>
  </si>
  <si>
    <t>5239</t>
  </si>
  <si>
    <t>GFD0G31</t>
  </si>
  <si>
    <t>GUARULHOS-SÃO JOSE DOS PINHAIS</t>
  </si>
  <si>
    <t>179482</t>
  </si>
  <si>
    <t>1560840</t>
  </si>
  <si>
    <t>5240</t>
  </si>
  <si>
    <t>BHY5F12</t>
  </si>
  <si>
    <t>FYQ2F92</t>
  </si>
  <si>
    <t>R. FRANCISCO MUNÕZ MADRID, 625 - ACADEMIA, SÃO JOSÉ DOS PINHAIS - PR, 83070-010</t>
  </si>
  <si>
    <t>SUDESTE - RAIO SP 500KM</t>
  </si>
  <si>
    <t>179496</t>
  </si>
  <si>
    <t>1563577,1563577</t>
  </si>
  <si>
    <t>5243</t>
  </si>
  <si>
    <t>EGJ2E56</t>
  </si>
  <si>
    <t>ROD. HÉLIO SMIDT, S/Nº - AEROPORTO, GUARULHOS - SP, 07190-100</t>
  </si>
  <si>
    <t>179520</t>
  </si>
  <si>
    <t>1564345</t>
  </si>
  <si>
    <t>5252</t>
  </si>
  <si>
    <t>TXW5H41</t>
  </si>
  <si>
    <t>DPC5D84</t>
  </si>
  <si>
    <t>JARDIM PRINCESA D'OESTE, CAMPINAS - SP, 13055, BRASIL</t>
  </si>
  <si>
    <t>GUARULHOS-CONTAGEM</t>
  </si>
  <si>
    <t>179523</t>
  </si>
  <si>
    <t>1563004</t>
  </si>
  <si>
    <t>5253</t>
  </si>
  <si>
    <t>TJU2G26</t>
  </si>
  <si>
    <t>AV. ÁPIO CARDOSO, 577 - CINCAO, CONTAGEM - MG, 32371-615</t>
  </si>
  <si>
    <t>SUDESTE - 600KM</t>
  </si>
  <si>
    <t>GUARULHOS-BRASILIA</t>
  </si>
  <si>
    <t>179527</t>
  </si>
  <si>
    <t>1563148</t>
  </si>
  <si>
    <t>5254</t>
  </si>
  <si>
    <t>FHV9B91</t>
  </si>
  <si>
    <t>BR-040, KM 5 - SANTA MARIA, BRASÍLIA - DF, 72549-650</t>
  </si>
  <si>
    <t>179529</t>
  </si>
  <si>
    <t>1564241</t>
  </si>
  <si>
    <t>5257</t>
  </si>
  <si>
    <t>ODJ1G29</t>
  </si>
  <si>
    <t>AEROPORTO DE VITÓRIA EURICO DE AGUIAR SALLES, TERMINAL DE CARGAS - AV. FERNANDO FERRARI, 3800 - GOIABEIRAS, VITÓRIA - ES, 29075-920</t>
  </si>
  <si>
    <t>AV. CEM, 11 - TIMS, SERRA - ES, 29161-384</t>
  </si>
  <si>
    <t>179561</t>
  </si>
  <si>
    <t>1562915,1562915</t>
  </si>
  <si>
    <t>5266</t>
  </si>
  <si>
    <t>SUDESTE - RAIO SP 300KM</t>
  </si>
  <si>
    <t>179564</t>
  </si>
  <si>
    <t>1563692</t>
  </si>
  <si>
    <t>5268</t>
  </si>
  <si>
    <t>EKH7G80</t>
  </si>
  <si>
    <t>R. PATAXÓS, 1412 - PATAXOS, EMBU DAS ARTES - SP, 06833-073</t>
  </si>
  <si>
    <t>179567</t>
  </si>
  <si>
    <t>1563764</t>
  </si>
  <si>
    <t>5269</t>
  </si>
  <si>
    <t>FKX2B91</t>
  </si>
  <si>
    <t>ESTR. DA CRUZ GRANDE, 1700 - RES. BURCK, LOUVEIRA - SP, 13290-000</t>
  </si>
  <si>
    <t>R. LOURENÇO CHOHFI, 590 - NOVA ODESSA, SP, 13460-000</t>
  </si>
  <si>
    <t>BARUERI-JABOATAO DOS GUARARAPES</t>
  </si>
  <si>
    <t>179596</t>
  </si>
  <si>
    <t>1564470,1564470</t>
  </si>
  <si>
    <t>5283</t>
  </si>
  <si>
    <t>SEG5H54</t>
  </si>
  <si>
    <t>BR-101 - JARDIM JORDÃO, JABOATÃO DOS GUARARAPES - PE</t>
  </si>
  <si>
    <t>SUDESTE - 2700KM</t>
  </si>
  <si>
    <t>RAIO ES 200 KM</t>
  </si>
  <si>
    <t>179605</t>
  </si>
  <si>
    <t>1565919</t>
  </si>
  <si>
    <t>5286</t>
  </si>
  <si>
    <t>SBP7F90</t>
  </si>
  <si>
    <t>MRR5J55</t>
  </si>
  <si>
    <t>R. PORTO ALEGRE, 307 - ALTEROSAS, SERRA - ES, 29167-036</t>
  </si>
  <si>
    <t>179623</t>
  </si>
  <si>
    <t>1565124</t>
  </si>
  <si>
    <t>5290</t>
  </si>
  <si>
    <t>BQU9508</t>
  </si>
  <si>
    <t>ROD. FERNÃO DIAS - EXTREMA, MG, 37640-000</t>
  </si>
  <si>
    <t>R. PANAMBI, 191 - CIDADE INDUSTRIAL SATÉLITE DE SÃO PAULO, GUARULHOS - SP, 07224-130</t>
  </si>
  <si>
    <t>179624</t>
  </si>
  <si>
    <t>5291</t>
  </si>
  <si>
    <t>179627</t>
  </si>
  <si>
    <t>1564319</t>
  </si>
  <si>
    <t>5292</t>
  </si>
  <si>
    <t>EPU7555</t>
  </si>
  <si>
    <t>ESTR. MUN. LUIZ LOPES NETO - EXTREMA, MG, 37640-000</t>
  </si>
  <si>
    <t>BARUERI-EXTREMA</t>
  </si>
  <si>
    <t>179628</t>
  </si>
  <si>
    <t>1565736,1565736</t>
  </si>
  <si>
    <t>5299</t>
  </si>
  <si>
    <t>UDE1E99</t>
  </si>
  <si>
    <t>UDC4I21</t>
  </si>
  <si>
    <t>AV. TAMBORE, 1440 - TAMBORÉ, BARUERI - SP, 06460-000</t>
  </si>
  <si>
    <t>ROD. FERNÃO DIAS - EXTREMA, MG</t>
  </si>
  <si>
    <t>179629</t>
  </si>
  <si>
    <t>5300</t>
  </si>
  <si>
    <t>179632</t>
  </si>
  <si>
    <t>1565744</t>
  </si>
  <si>
    <t>5298</t>
  </si>
  <si>
    <t>QSZ5J87</t>
  </si>
  <si>
    <t>TKY0D27</t>
  </si>
  <si>
    <t>179646</t>
  </si>
  <si>
    <t>1564495</t>
  </si>
  <si>
    <t>5301</t>
  </si>
  <si>
    <t>179712</t>
  </si>
  <si>
    <t>1566432,1566432,1566432</t>
  </si>
  <si>
    <t>5313</t>
  </si>
  <si>
    <t>TPI5I74</t>
  </si>
  <si>
    <t>QIL9B88</t>
  </si>
  <si>
    <t>R. VER. GERMANO L VIEIRA - ITAIPAVA, ITAJAÍ - SC</t>
  </si>
  <si>
    <t>ROD. HENRIQUE HERWIG, TIJUCAS DO SUL - PR</t>
  </si>
  <si>
    <t>179741</t>
  </si>
  <si>
    <t>1566167,1566167</t>
  </si>
  <si>
    <t>5317</t>
  </si>
  <si>
    <t>RTC6J09</t>
  </si>
  <si>
    <t>GUARULHOS-HIDROLANDIA</t>
  </si>
  <si>
    <t>179746</t>
  </si>
  <si>
    <t>1566764,1566764,1566764</t>
  </si>
  <si>
    <t>5319</t>
  </si>
  <si>
    <t>FTX4F85</t>
  </si>
  <si>
    <t>COLOMBO, PR</t>
  </si>
  <si>
    <t>SUDESTE - 400KM</t>
  </si>
  <si>
    <t>179762</t>
  </si>
  <si>
    <t>1566958</t>
  </si>
  <si>
    <t>5327</t>
  </si>
  <si>
    <t>IVK5768</t>
  </si>
  <si>
    <t>IPR6955</t>
  </si>
  <si>
    <t>179791</t>
  </si>
  <si>
    <t>1567612</t>
  </si>
  <si>
    <t>5331</t>
  </si>
  <si>
    <t>BQU9E47</t>
  </si>
  <si>
    <t>179801</t>
  </si>
  <si>
    <t>1567636</t>
  </si>
  <si>
    <t>5334</t>
  </si>
  <si>
    <t>179802</t>
  </si>
  <si>
    <t>5335</t>
  </si>
  <si>
    <t>179857</t>
  </si>
  <si>
    <t>1568177,1568177</t>
  </si>
  <si>
    <t>5346</t>
  </si>
  <si>
    <t>UDN9C89</t>
  </si>
  <si>
    <t>QRH1G74</t>
  </si>
  <si>
    <t>179891</t>
  </si>
  <si>
    <t>1568259</t>
  </si>
  <si>
    <t>5347</t>
  </si>
  <si>
    <t>GHJ3H54</t>
  </si>
  <si>
    <t>179903</t>
  </si>
  <si>
    <t>1568842</t>
  </si>
  <si>
    <t>5362</t>
  </si>
  <si>
    <t>FCH9H26</t>
  </si>
  <si>
    <t>DTC1592</t>
  </si>
  <si>
    <t>SUDESTE - BARUERI-GUARATINGUETA 223KM</t>
  </si>
  <si>
    <t>ITAPEVI-LONDRINA</t>
  </si>
  <si>
    <t>179904</t>
  </si>
  <si>
    <t>1568955,1568955</t>
  </si>
  <si>
    <t>5363</t>
  </si>
  <si>
    <t>ESP6E44</t>
  </si>
  <si>
    <t>179905</t>
  </si>
  <si>
    <t>1569054,1569054</t>
  </si>
  <si>
    <t>5364</t>
  </si>
  <si>
    <t>EWU8G13</t>
  </si>
  <si>
    <t>179906</t>
  </si>
  <si>
    <t>1569010,1569010</t>
  </si>
  <si>
    <t>5365</t>
  </si>
  <si>
    <t>FLT2G14</t>
  </si>
  <si>
    <t>179916</t>
  </si>
  <si>
    <t>1568928</t>
  </si>
  <si>
    <t>5367</t>
  </si>
  <si>
    <t>GGJ2A55</t>
  </si>
  <si>
    <t>GUARULHOS, SP</t>
  </si>
  <si>
    <t>CONTAGEM - MG</t>
  </si>
  <si>
    <t>SUDESTE - GUARULHOS-CONTAGEM 486KM</t>
  </si>
  <si>
    <t>179918</t>
  </si>
  <si>
    <t>1569223</t>
  </si>
  <si>
    <t>5368</t>
  </si>
  <si>
    <t>179937</t>
  </si>
  <si>
    <t>1571144</t>
  </si>
  <si>
    <t>5373</t>
  </si>
  <si>
    <t>UFY6E51</t>
  </si>
  <si>
    <t>OVL1D03</t>
  </si>
  <si>
    <t>179940</t>
  </si>
  <si>
    <t>5374</t>
  </si>
  <si>
    <t>SWY6C24</t>
  </si>
  <si>
    <t>SUDESTE - CAJAMAR-BARUERI 100KM</t>
  </si>
  <si>
    <t>179989</t>
  </si>
  <si>
    <t>1570307</t>
  </si>
  <si>
    <t>5388</t>
  </si>
  <si>
    <t>OWM6A23</t>
  </si>
  <si>
    <t>180000</t>
  </si>
  <si>
    <t>1570412</t>
  </si>
  <si>
    <t>5391</t>
  </si>
  <si>
    <t>AKG5J88</t>
  </si>
  <si>
    <t>SUDESTE - GUARULHOS-CAJAMAR 100KM</t>
  </si>
  <si>
    <t>180015</t>
  </si>
  <si>
    <t>5397</t>
  </si>
  <si>
    <t>180026</t>
  </si>
  <si>
    <t>1571096</t>
  </si>
  <si>
    <t>5400</t>
  </si>
  <si>
    <t>SJD9H78</t>
  </si>
  <si>
    <t>NORDESTE - DISTRIBUIÇÃO PE 100KM</t>
  </si>
  <si>
    <t>180035</t>
  </si>
  <si>
    <t>5402</t>
  </si>
  <si>
    <t>GBV3G71</t>
  </si>
  <si>
    <t>RTM3A12</t>
  </si>
  <si>
    <t>R. PEDROSO ALVARENGA - ITAIM BIBI, SÃO PAULO - SP</t>
  </si>
  <si>
    <t>180039</t>
  </si>
  <si>
    <t>5405</t>
  </si>
  <si>
    <t>GGC0E46</t>
  </si>
  <si>
    <t>R. GERALDO DEL PUPO, 502 - CIVIT II, SERRA - ES, 29168-074</t>
  </si>
  <si>
    <t>180045</t>
  </si>
  <si>
    <t>1571262,1571262</t>
  </si>
  <si>
    <t>5408</t>
  </si>
  <si>
    <t>SVT9J98</t>
  </si>
  <si>
    <t>180046</t>
  </si>
  <si>
    <t>5406</t>
  </si>
  <si>
    <t>FXC4E85</t>
  </si>
  <si>
    <t>180051</t>
  </si>
  <si>
    <t>5407</t>
  </si>
  <si>
    <t>UEQ9H16</t>
  </si>
  <si>
    <t>180054</t>
  </si>
  <si>
    <t>5414</t>
  </si>
  <si>
    <t>KXW4B74</t>
  </si>
  <si>
    <t>SUDESTE - EXTREMA-CABEDELO 2650KM</t>
  </si>
  <si>
    <t>180084</t>
  </si>
  <si>
    <t>5435</t>
  </si>
  <si>
    <t>FPA7D92</t>
  </si>
  <si>
    <t>PRAÇA ANTÔNIO TELES, 12 - CENTRO, SANTOS - SP, 11013-020</t>
  </si>
  <si>
    <t>180087</t>
  </si>
  <si>
    <t>5439</t>
  </si>
  <si>
    <t>TXW5H50</t>
  </si>
  <si>
    <t>EQU8950</t>
  </si>
  <si>
    <t>PISO LAZER - QUIOSQUE BLINK LAB - AV. ROQUE PETRONI JÚNIOR, 1089 - VILA GERTRUDES, SÃO PAULO - SP, 04707-900</t>
  </si>
  <si>
    <t>180090</t>
  </si>
  <si>
    <t>5425</t>
  </si>
  <si>
    <t>SUDESTE - HORTOLÂNDIA-BARUERI 100KM</t>
  </si>
  <si>
    <t>180100</t>
  </si>
  <si>
    <t>5426</t>
  </si>
  <si>
    <t>QVD9A57</t>
  </si>
  <si>
    <t>OBH7D48</t>
  </si>
  <si>
    <t>AV. CIVIT - CARAPINA, SERRA - ES</t>
  </si>
  <si>
    <t>180108</t>
  </si>
  <si>
    <t>5441</t>
  </si>
  <si>
    <t>FYY8867</t>
  </si>
  <si>
    <t>180112</t>
  </si>
  <si>
    <t>5442</t>
  </si>
  <si>
    <t>RVK6J15</t>
  </si>
  <si>
    <t>R. FRANCISCO DE SOUZA E MELO, 1590 - CORDOVIL, RIO DE JANEIRO - RJ, 21010-410</t>
  </si>
  <si>
    <t>R. PARAPEUNA, 1351 - VILA MARIA HELENA, DUQUE DE CAXIAS - RJ, 25251-280</t>
  </si>
  <si>
    <t>180122</t>
  </si>
  <si>
    <t>5443</t>
  </si>
  <si>
    <t>PRC7D19</t>
  </si>
  <si>
    <t>UIZ4B66</t>
  </si>
  <si>
    <t>ONCO PROD - TR STRC TRECHO - 0 - ZONA INDUSTRIAL - BRASILIA - DF</t>
  </si>
  <si>
    <t>180134</t>
  </si>
  <si>
    <t>5444</t>
  </si>
  <si>
    <t>PUT7E81</t>
  </si>
  <si>
    <t>ONCO PROD DISTRIBUIDORA DE PRODUTOS - CAJAMAR - AC SUL - 503 - EMPRESARIAL MIRANTE - CAJAMAR - SP</t>
  </si>
  <si>
    <t>180169</t>
  </si>
  <si>
    <t>5451</t>
  </si>
  <si>
    <t>AYN0B15</t>
  </si>
  <si>
    <t>820, ROD. FERNÃO DIAS, S/N - ALIANCA, SÃO SEBASTIÃO DA BELA VISTA - MG, 37418-760</t>
  </si>
  <si>
    <t>180189</t>
  </si>
  <si>
    <t>5452</t>
  </si>
  <si>
    <t>FCB9D58</t>
  </si>
  <si>
    <t>GUARULHOS-SOCORRO</t>
  </si>
  <si>
    <t>180190</t>
  </si>
  <si>
    <t>5453</t>
  </si>
  <si>
    <t>ESU7B96</t>
  </si>
  <si>
    <t>180192</t>
  </si>
  <si>
    <t>5454</t>
  </si>
  <si>
    <t>RWM0D25</t>
  </si>
  <si>
    <t>RYD1B96</t>
  </si>
  <si>
    <t>180200</t>
  </si>
  <si>
    <t>5455</t>
  </si>
  <si>
    <t>ELQ2B98</t>
  </si>
  <si>
    <t>180207</t>
  </si>
  <si>
    <t>5456</t>
  </si>
  <si>
    <t>TMH5I14</t>
  </si>
  <si>
    <t>HKW5H78</t>
  </si>
  <si>
    <t>180208</t>
  </si>
  <si>
    <t>5457</t>
  </si>
  <si>
    <t>EPU5C86</t>
  </si>
  <si>
    <t>180216</t>
  </si>
  <si>
    <t>5459</t>
  </si>
  <si>
    <t>SIY7J70</t>
  </si>
  <si>
    <t>DPE3E09</t>
  </si>
  <si>
    <t>180219</t>
  </si>
  <si>
    <t>5466</t>
  </si>
  <si>
    <t>HNN5D96</t>
  </si>
  <si>
    <t>180222</t>
  </si>
  <si>
    <t>5467</t>
  </si>
  <si>
    <t>EON1H40</t>
  </si>
  <si>
    <t>ODF2J78</t>
  </si>
  <si>
    <t>180223</t>
  </si>
  <si>
    <t>5468</t>
  </si>
  <si>
    <t>QQD2E34</t>
  </si>
  <si>
    <t>180227</t>
  </si>
  <si>
    <t>5469</t>
  </si>
  <si>
    <t>PZB2F58</t>
  </si>
  <si>
    <t>DTD3462</t>
  </si>
  <si>
    <t>180228</t>
  </si>
  <si>
    <t>5470</t>
  </si>
  <si>
    <t>180234</t>
  </si>
  <si>
    <t>5471</t>
  </si>
  <si>
    <t>UEQ8E98</t>
  </si>
  <si>
    <t>CUD6061</t>
  </si>
  <si>
    <t>180236</t>
  </si>
  <si>
    <t>5472</t>
  </si>
  <si>
    <t>OKY2J35</t>
  </si>
  <si>
    <t>CENTRO-OESTE - DISTRIBUIÇÃO DF 100KM</t>
  </si>
  <si>
    <t>180274</t>
  </si>
  <si>
    <t>5494</t>
  </si>
  <si>
    <t>ELQ7J38</t>
  </si>
  <si>
    <t>VIELA VP-5E - DISTRITO AGRO-INDUSTRIAL DE ANÁPOLIS (D A I A), ANÁPOLIS - GO</t>
  </si>
  <si>
    <t>APARECIDA DE GOIÂNIA, GO</t>
  </si>
  <si>
    <t>CENTRO-OESTE - DISTRIBUIÇÃO GO 100KM</t>
  </si>
  <si>
    <t>180275</t>
  </si>
  <si>
    <t>5493</t>
  </si>
  <si>
    <t>180283</t>
  </si>
  <si>
    <t>5495</t>
  </si>
  <si>
    <t>UDW3H68</t>
  </si>
  <si>
    <t>ROD. SANTOS DUMONT, 66 - JARDIM PRINCESA D'OESTE, CAMPINAS - SP, 13024-020</t>
  </si>
  <si>
    <t>180298</t>
  </si>
  <si>
    <t>5482</t>
  </si>
  <si>
    <t>DVT6B75</t>
  </si>
  <si>
    <t>180304</t>
  </si>
  <si>
    <t>5485</t>
  </si>
  <si>
    <t>IRZ2J97</t>
  </si>
  <si>
    <t>180308</t>
  </si>
  <si>
    <t>5486</t>
  </si>
  <si>
    <t>AV. WASHINGTON LUÍS, S/N - VILA CONGONHAS, SÃO PAULO - SP, 04627-006</t>
  </si>
  <si>
    <t>180333</t>
  </si>
  <si>
    <t>5488</t>
  </si>
  <si>
    <t>RWL5A26</t>
  </si>
  <si>
    <t>OYF2E65</t>
  </si>
  <si>
    <t>AEROPORTO, VITÓRIA - ES, 29075-920, BRASIL</t>
  </si>
  <si>
    <t>180349</t>
  </si>
  <si>
    <t>5509</t>
  </si>
  <si>
    <t>180354</t>
  </si>
  <si>
    <t>5507</t>
  </si>
  <si>
    <t>UDW0I06</t>
  </si>
  <si>
    <t>SUDESTE - ITAPEVI-CAJAMAR 100KM</t>
  </si>
  <si>
    <t>ITAPEVI-GUARULHOS</t>
  </si>
  <si>
    <t>180356</t>
  </si>
  <si>
    <t>5508</t>
  </si>
  <si>
    <t>GEU8A95</t>
  </si>
  <si>
    <t>ROD. PRES. CASTELLO BRANCO - INGAHI, ITAPEVI - SP</t>
  </si>
  <si>
    <t>SUDESTE - ITAPEVI-GUARULHOS 100KM</t>
  </si>
  <si>
    <t>180357</t>
  </si>
  <si>
    <t>5506</t>
  </si>
  <si>
    <t>FSD0862</t>
  </si>
  <si>
    <t>ROD. FERNÃO DIAS, KM 942 - EXTREMA, MG, 37418-760</t>
  </si>
  <si>
    <t>SUDESTE - BARUERI-EXTREMA 137KM</t>
  </si>
  <si>
    <t>180365</t>
  </si>
  <si>
    <t>5512</t>
  </si>
  <si>
    <t>KPK4C12</t>
  </si>
  <si>
    <t>180366</t>
  </si>
  <si>
    <t>5511</t>
  </si>
  <si>
    <t>STE2D67</t>
  </si>
  <si>
    <t>180373</t>
  </si>
  <si>
    <t>5514</t>
  </si>
  <si>
    <t>EM VIAGEM</t>
  </si>
  <si>
    <t>180383</t>
  </si>
  <si>
    <t>5525</t>
  </si>
  <si>
    <t>GIQ7H09</t>
  </si>
  <si>
    <t>AV. MORUMBI, 8264 - BROOKLIN, SÃO PAULO - SP, 04703-002</t>
  </si>
  <si>
    <t>180385</t>
  </si>
  <si>
    <t>5517</t>
  </si>
  <si>
    <t>UPQ3G99</t>
  </si>
  <si>
    <t>FCS0A52</t>
  </si>
  <si>
    <t>AG. INICIO</t>
  </si>
  <si>
    <t>ANÁPOLIS-BRASILIA</t>
  </si>
  <si>
    <t>180416</t>
  </si>
  <si>
    <t>5535</t>
  </si>
  <si>
    <t>LBZ7D73</t>
  </si>
  <si>
    <t>180422</t>
  </si>
  <si>
    <t>5547</t>
  </si>
  <si>
    <t>ELP4A82</t>
  </si>
  <si>
    <t>180425</t>
  </si>
  <si>
    <t>5529</t>
  </si>
  <si>
    <t>SYT2D35</t>
  </si>
  <si>
    <t>EFV4F12</t>
  </si>
  <si>
    <t>180426</t>
  </si>
  <si>
    <t>5530</t>
  </si>
  <si>
    <t>CENTRO-OESTE - RAIO GO 200KM</t>
  </si>
  <si>
    <t>BARUERI-CUIABA</t>
  </si>
  <si>
    <t>180440</t>
  </si>
  <si>
    <t>5538</t>
  </si>
  <si>
    <t>R. JÚLIO DOMINGOS DE CAMPOS "SEO FIOTE", CEP 78.049-902 - CENTRO POLÍTICO ADMINISTRATIVO, CUIABÁ - MT, 78050-970</t>
  </si>
  <si>
    <t>MT</t>
  </si>
  <si>
    <t>180441</t>
  </si>
  <si>
    <t>5536</t>
  </si>
  <si>
    <t>EM DESLOCAMENTO</t>
  </si>
  <si>
    <t>180442</t>
  </si>
  <si>
    <t>5541</t>
  </si>
  <si>
    <t>UDZ1E28</t>
  </si>
  <si>
    <t>180443</t>
  </si>
  <si>
    <t>5542</t>
  </si>
  <si>
    <t>180451</t>
  </si>
  <si>
    <t>5537</t>
  </si>
  <si>
    <t>TXW5H52</t>
  </si>
  <si>
    <t>ELV0700</t>
  </si>
  <si>
    <t>180458</t>
  </si>
  <si>
    <t>5543</t>
  </si>
  <si>
    <t>BZH3F37</t>
  </si>
  <si>
    <t>RAIA DROGASIL S/A HIDROLANDIA - BR-153 - 45 - ZONA DE EXPANSAO EMPRESARIA - HIDROLANDIA - GO</t>
  </si>
  <si>
    <t>CHEGADA NO CLIENTE</t>
  </si>
  <si>
    <t>180459</t>
  </si>
  <si>
    <t>5539</t>
  </si>
  <si>
    <t>AV. ROQUE PETRONI JÚNIOR, 1089 - VILA GERTRUDES, SÃO PAULO - SP, 04707-900</t>
  </si>
  <si>
    <t>INFO. PENDENTE</t>
  </si>
  <si>
    <t>180477</t>
  </si>
  <si>
    <t>5551</t>
  </si>
  <si>
    <t>KPI7A83</t>
  </si>
  <si>
    <t>ESTR. ÁGUA CHATA, 740 - ÁGUA CHATA, GUARULHOS - SP, 07251-000</t>
  </si>
  <si>
    <t>DF-290, 3615 - SANTA MARIA, BRASÍLIA - DF, 72578-000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</si>
</sst>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  <col min="41" max="41" width="32" customWidth="1"/>
    <col min="42" max="42" width="11" customWidth="1"/>
  </cols>
  <sheetData>
    <row r="1" ht="30" customHeight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  <c r="AO1" s="1" t="s">
        <v>37</v>
      </c>
      <c r="AP1" s="1" t="s">
        <v>16</v>
      </c>
    </row>
    <row r="2" ht="18" customHeight="1" spans="1:42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4" t="s">
        <v>47</v>
      </c>
      <c r="K2" s="5" t="s">
        <v>48</v>
      </c>
      <c r="L2" s="5" t="s">
        <v>49</v>
      </c>
      <c r="M2" s="5" t="s">
        <v>48</v>
      </c>
      <c r="N2" s="3" t="s">
        <v>49</v>
      </c>
      <c r="O2" s="6">
        <v>297936</v>
      </c>
      <c r="P2" s="6">
        <v>297973</v>
      </c>
      <c r="Q2" s="6">
        <f>P2-O2</f>
      </c>
      <c r="R2" s="7">
        <v>100</v>
      </c>
      <c r="S2" s="6">
        <f>IF(Q2-R2&lt;0,"0",Q2-R2)</f>
      </c>
      <c r="T2" s="6">
        <v>0</v>
      </c>
      <c r="U2" s="8">
        <v>46161.3125</v>
      </c>
      <c r="V2" s="8">
        <v>46161.4209375</v>
      </c>
      <c r="W2" s="9">
        <f>V2-U2</f>
      </c>
      <c r="X2" s="10">
        <v>0.125</v>
      </c>
      <c r="Y2" s="9">
        <f>IF(W2-X2&lt;0,"00:00:00",W2-X2)</f>
      </c>
      <c r="Z2" s="11">
        <v>145</v>
      </c>
      <c r="AA2" s="11">
        <v>7.35</v>
      </c>
      <c r="AB2" s="12">
        <f>Y2*Z2*24</f>
      </c>
      <c r="AC2" s="12">
        <f>S2*AA2</f>
      </c>
      <c r="AD2" s="12">
        <f>T2*AA2</f>
      </c>
      <c r="AE2" s="11">
        <v>735</v>
      </c>
      <c r="AF2" s="12">
        <v>0</v>
      </c>
      <c r="AG2" s="12">
        <f>SUM(AB2:AF2)</f>
      </c>
      <c r="AH2" s="3"/>
      <c r="AI2" s="3"/>
      <c r="AJ2" s="3"/>
      <c r="AK2" s="3"/>
      <c r="AL2" s="3"/>
      <c r="AO2" s="3" t="s">
        <v>50</v>
      </c>
      <c r="AP2" s="6">
        <f>Q2</f>
      </c>
    </row>
    <row r="3" ht="18" customHeight="1" spans="1:42" x14ac:dyDescent="0.25">
      <c r="A3" s="3" t="s">
        <v>38</v>
      </c>
      <c r="B3" s="3" t="s">
        <v>39</v>
      </c>
      <c r="C3" s="3" t="s">
        <v>40</v>
      </c>
      <c r="D3" s="3" t="s">
        <v>41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5" t="s">
        <v>57</v>
      </c>
      <c r="L3" s="5" t="s">
        <v>58</v>
      </c>
      <c r="M3" s="5" t="s">
        <v>57</v>
      </c>
      <c r="N3" s="3" t="s">
        <v>58</v>
      </c>
      <c r="O3" s="6">
        <v>5747</v>
      </c>
      <c r="P3" s="6">
        <v>5780</v>
      </c>
      <c r="Q3" s="6">
        <f>P3-O3</f>
      </c>
      <c r="R3" s="7">
        <v>100</v>
      </c>
      <c r="S3" s="6">
        <f>IF(Q3-R3&lt;0,"0",Q3-R3)</f>
      </c>
      <c r="T3" s="6">
        <v>0</v>
      </c>
      <c r="U3" s="8">
        <v>46161.29166666667</v>
      </c>
      <c r="V3" s="8">
        <v>46161.55846064815</v>
      </c>
      <c r="W3" s="9">
        <f>V3-U3</f>
      </c>
      <c r="X3" s="10">
        <v>0.125</v>
      </c>
      <c r="Y3" s="9">
        <f>IF(W3-X3&lt;0,"00:00:00",W3-X3)</f>
      </c>
      <c r="Z3" s="11">
        <v>145</v>
      </c>
      <c r="AA3" s="11">
        <v>6.9</v>
      </c>
      <c r="AB3" s="12">
        <f>Y3*Z3*24</f>
      </c>
      <c r="AC3" s="12">
        <f>S3*AA3</f>
      </c>
      <c r="AD3" s="12">
        <f>T3*AA3</f>
      </c>
      <c r="AE3" s="11">
        <v>690</v>
      </c>
      <c r="AF3" s="12">
        <v>0</v>
      </c>
      <c r="AG3" s="12">
        <f>SUM(AB3:AF3)</f>
      </c>
      <c r="AH3" s="3"/>
      <c r="AI3" s="3"/>
      <c r="AJ3" s="3"/>
      <c r="AK3" s="3"/>
      <c r="AL3" s="3"/>
      <c r="AO3" s="3" t="s">
        <v>59</v>
      </c>
      <c r="AP3" s="6">
        <f>Q3</f>
      </c>
    </row>
    <row r="4" ht="18" customHeight="1" spans="1:42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5" t="s">
        <v>66</v>
      </c>
      <c r="L4" s="5" t="s">
        <v>67</v>
      </c>
      <c r="M4" s="5" t="s">
        <v>68</v>
      </c>
      <c r="N4" s="4" t="s">
        <v>47</v>
      </c>
      <c r="O4" s="6">
        <v>14337</v>
      </c>
      <c r="P4" s="6">
        <v>14390</v>
      </c>
      <c r="Q4" s="6">
        <v>200</v>
      </c>
      <c r="R4" s="7">
        <v>100</v>
      </c>
      <c r="S4" s="6">
        <f>IF(Q4-R4&lt;0,"0",Q4-R4)</f>
      </c>
      <c r="T4" s="6">
        <v>0</v>
      </c>
      <c r="U4" s="8">
        <v>46160.91666666667</v>
      </c>
      <c r="V4" s="8">
        <v>46160.99251157408</v>
      </c>
      <c r="W4" s="9">
        <f>V4-U4</f>
      </c>
      <c r="X4" s="10">
        <v>0.125</v>
      </c>
      <c r="Y4" s="9">
        <f>IF(W4-X4&lt;0,"00:00:00",W4-X4)</f>
      </c>
      <c r="Z4" s="11">
        <v>145</v>
      </c>
      <c r="AA4" s="11">
        <v>0</v>
      </c>
      <c r="AB4" s="12">
        <f>Y4*Z4*24</f>
      </c>
      <c r="AC4" s="12">
        <f>S4*AA4</f>
      </c>
      <c r="AD4" s="12">
        <f>T4*AA4</f>
      </c>
      <c r="AE4" s="11">
        <v>690</v>
      </c>
      <c r="AF4" s="12">
        <v>0</v>
      </c>
      <c r="AG4" s="12">
        <f>SUM(AB4:AF4)</f>
      </c>
      <c r="AH4" s="3"/>
      <c r="AI4" s="3"/>
      <c r="AJ4" s="3"/>
      <c r="AK4" s="3"/>
      <c r="AL4" s="3"/>
      <c r="AO4" s="3" t="s">
        <v>69</v>
      </c>
      <c r="AP4" s="6">
        <f>Q4</f>
      </c>
    </row>
    <row r="5" ht="18" customHeight="1" spans="1:42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51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5" t="s">
        <v>57</v>
      </c>
      <c r="L5" s="5" t="s">
        <v>58</v>
      </c>
      <c r="M5" s="5" t="s">
        <v>57</v>
      </c>
      <c r="N5" s="3" t="s">
        <v>58</v>
      </c>
      <c r="O5" s="6">
        <v>6101</v>
      </c>
      <c r="P5" s="6">
        <v>6137</v>
      </c>
      <c r="Q5" s="6">
        <f>P5-O5</f>
      </c>
      <c r="R5" s="7">
        <v>100</v>
      </c>
      <c r="S5" s="6">
        <f>IF(Q5-R5&lt;0,"0",Q5-R5)</f>
      </c>
      <c r="T5" s="6">
        <v>0</v>
      </c>
      <c r="U5" s="8">
        <v>46161.375</v>
      </c>
      <c r="V5" s="8">
        <v>46161.57319444444</v>
      </c>
      <c r="W5" s="9">
        <f>V5-U5</f>
      </c>
      <c r="X5" s="10">
        <v>0.125</v>
      </c>
      <c r="Y5" s="9">
        <f>IF(W5-X5&lt;0,"00:00:00",W5-X5)</f>
      </c>
      <c r="Z5" s="11">
        <v>145</v>
      </c>
      <c r="AA5" s="11">
        <v>6.9</v>
      </c>
      <c r="AB5" s="12">
        <f>Y5*Z5*24</f>
      </c>
      <c r="AC5" s="12">
        <f>S5*AA5</f>
      </c>
      <c r="AD5" s="12">
        <f>T5*AA5</f>
      </c>
      <c r="AE5" s="11">
        <v>690</v>
      </c>
      <c r="AF5" s="12">
        <v>0</v>
      </c>
      <c r="AG5" s="12">
        <f>SUM(AB5:AF5)</f>
      </c>
      <c r="AH5" s="3"/>
      <c r="AI5" s="3"/>
      <c r="AJ5" s="3"/>
      <c r="AK5" s="3"/>
      <c r="AL5" s="3"/>
      <c r="AO5" s="3" t="s">
        <v>59</v>
      </c>
      <c r="AP5" s="6">
        <f>Q5</f>
      </c>
    </row>
    <row r="6" ht="18" customHeight="1" spans="1:42" x14ac:dyDescent="0.25">
      <c r="A6" s="3" t="s">
        <v>38</v>
      </c>
      <c r="B6" s="3" t="s">
        <v>39</v>
      </c>
      <c r="C6" s="3" t="s">
        <v>40</v>
      </c>
      <c r="D6" s="3" t="s">
        <v>75</v>
      </c>
      <c r="E6" s="3" t="s">
        <v>60</v>
      </c>
      <c r="F6" s="3" t="s">
        <v>76</v>
      </c>
      <c r="G6" s="3" t="s">
        <v>77</v>
      </c>
      <c r="H6" s="3" t="s">
        <v>78</v>
      </c>
      <c r="I6" s="4" t="s">
        <v>47</v>
      </c>
      <c r="J6" s="4" t="s">
        <v>47</v>
      </c>
      <c r="K6" s="5" t="s">
        <v>79</v>
      </c>
      <c r="L6" s="5" t="s">
        <v>67</v>
      </c>
      <c r="M6" s="5" t="s">
        <v>79</v>
      </c>
      <c r="N6" s="3" t="s">
        <v>67</v>
      </c>
      <c r="O6" s="6">
        <v>0</v>
      </c>
      <c r="P6" s="6">
        <v>0</v>
      </c>
      <c r="Q6" s="6">
        <v>0</v>
      </c>
      <c r="R6" s="7">
        <v>200</v>
      </c>
      <c r="S6" s="6">
        <f>IF(Q6-R6&lt;0,"0",Q6-R6)</f>
      </c>
      <c r="T6" s="6">
        <v>0</v>
      </c>
      <c r="U6" s="8">
        <v>46161.04166666667</v>
      </c>
      <c r="V6" s="8">
        <v>46161.04166666667</v>
      </c>
      <c r="W6" s="9">
        <f>V6-U6</f>
      </c>
      <c r="X6" s="10">
        <v>0.25</v>
      </c>
      <c r="Y6" s="9">
        <f>IF(W6-X6&lt;0,"00:00:00",W6-X6)</f>
      </c>
      <c r="Z6" s="11">
        <v>145</v>
      </c>
      <c r="AA6" s="11">
        <v>0</v>
      </c>
      <c r="AB6" s="12">
        <f>Y6*Z6*24</f>
      </c>
      <c r="AC6" s="12">
        <f>S6*AA6</f>
      </c>
      <c r="AD6" s="12">
        <f>T6*AA6</f>
      </c>
      <c r="AE6" s="11">
        <v>690</v>
      </c>
      <c r="AF6" s="12">
        <v>0</v>
      </c>
      <c r="AG6" s="12">
        <f>SUM(AB6:AF6)</f>
      </c>
      <c r="AH6" s="3"/>
      <c r="AI6" s="3"/>
      <c r="AJ6" s="3"/>
      <c r="AK6" s="3"/>
      <c r="AL6" s="3"/>
      <c r="AO6" s="3" t="s">
        <v>80</v>
      </c>
      <c r="AP6" s="6">
        <f>Q6</f>
      </c>
    </row>
    <row r="7" ht="18" customHeight="1" spans="1:42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85</v>
      </c>
      <c r="J7" s="3" t="s">
        <v>86</v>
      </c>
      <c r="K7" s="5" t="s">
        <v>87</v>
      </c>
      <c r="L7" s="5" t="s">
        <v>88</v>
      </c>
      <c r="M7" s="5" t="s">
        <v>89</v>
      </c>
      <c r="N7" s="3" t="s">
        <v>88</v>
      </c>
      <c r="O7" s="6">
        <v>161668</v>
      </c>
      <c r="P7" s="6">
        <v>161671</v>
      </c>
      <c r="Q7" s="6">
        <f>P7-O7</f>
      </c>
      <c r="R7" s="7">
        <v>100</v>
      </c>
      <c r="S7" s="6">
        <f>IF(Q7-R7&lt;0,"0",Q7-R7)</f>
      </c>
      <c r="T7" s="6">
        <v>0</v>
      </c>
      <c r="U7" s="8">
        <v>46161.27083333333</v>
      </c>
      <c r="V7" s="8">
        <v>46161.37069444444</v>
      </c>
      <c r="W7" s="9">
        <f>V7-U7</f>
      </c>
      <c r="X7" s="10">
        <v>0.125</v>
      </c>
      <c r="Y7" s="9">
        <f>IF(W7-X7&lt;0,"00:00:00",W7-X7)</f>
      </c>
      <c r="Z7" s="11">
        <v>145</v>
      </c>
      <c r="AA7" s="11">
        <v>6.9</v>
      </c>
      <c r="AB7" s="12">
        <f>Y7*Z7*24</f>
      </c>
      <c r="AC7" s="12">
        <f>S7*AA7</f>
      </c>
      <c r="AD7" s="12">
        <f>T7*AA7</f>
      </c>
      <c r="AE7" s="11">
        <v>690</v>
      </c>
      <c r="AF7" s="12">
        <v>0</v>
      </c>
      <c r="AG7" s="12">
        <f>SUM(AB7:AF7)</f>
      </c>
      <c r="AH7" s="3"/>
      <c r="AI7" s="3"/>
      <c r="AJ7" s="3"/>
      <c r="AK7" s="3"/>
      <c r="AL7" s="3"/>
      <c r="AO7" s="3" t="s">
        <v>90</v>
      </c>
      <c r="AP7" s="6">
        <f>Q7</f>
      </c>
    </row>
    <row r="8" ht="18" customHeight="1" spans="1:42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91</v>
      </c>
      <c r="F8" s="3" t="s">
        <v>92</v>
      </c>
      <c r="G8" s="3" t="s">
        <v>93</v>
      </c>
      <c r="H8" s="3" t="s">
        <v>94</v>
      </c>
      <c r="I8" s="3" t="s">
        <v>95</v>
      </c>
      <c r="J8" s="3" t="s">
        <v>96</v>
      </c>
      <c r="K8" s="5" t="s">
        <v>97</v>
      </c>
      <c r="L8" s="5" t="s">
        <v>98</v>
      </c>
      <c r="M8" s="5" t="s">
        <v>99</v>
      </c>
      <c r="N8" s="4" t="s">
        <v>47</v>
      </c>
      <c r="O8" s="6">
        <v>241818</v>
      </c>
      <c r="P8" s="6">
        <v>241859</v>
      </c>
      <c r="Q8" s="6">
        <v>300</v>
      </c>
      <c r="R8" s="7">
        <v>300</v>
      </c>
      <c r="S8" s="6">
        <f>IF(Q8-R8&lt;0,"0",Q8-R8)</f>
      </c>
      <c r="T8" s="6">
        <v>0</v>
      </c>
      <c r="U8" s="8">
        <v>46161.3125</v>
      </c>
      <c r="V8" s="8">
        <v>46161.40613425926</v>
      </c>
      <c r="W8" s="9">
        <f>V8-U8</f>
      </c>
      <c r="X8" s="10">
        <v>0.2916666666666667</v>
      </c>
      <c r="Y8" s="9">
        <f>IF(W8-X8&lt;0,"00:00:00",W8-X8)</f>
      </c>
      <c r="Z8" s="11">
        <v>145</v>
      </c>
      <c r="AA8" s="11">
        <v>0</v>
      </c>
      <c r="AB8" s="12">
        <f>Y8*Z8*24</f>
      </c>
      <c r="AC8" s="12">
        <f>S8*AA8</f>
      </c>
      <c r="AD8" s="12">
        <f>T8*AA8</f>
      </c>
      <c r="AE8" s="11">
        <v>2070</v>
      </c>
      <c r="AF8" s="12">
        <v>0</v>
      </c>
      <c r="AG8" s="12">
        <f>SUM(AB8:AF8)</f>
      </c>
      <c r="AH8" s="3"/>
      <c r="AI8" s="3"/>
      <c r="AJ8" s="3"/>
      <c r="AK8" s="3"/>
      <c r="AL8" s="3"/>
      <c r="AO8" s="3" t="s">
        <v>100</v>
      </c>
      <c r="AP8" s="6">
        <f>Q8</f>
      </c>
    </row>
    <row r="9" ht="18" customHeight="1" spans="1:42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101</v>
      </c>
      <c r="F9" s="3" t="s">
        <v>102</v>
      </c>
      <c r="G9" s="3" t="s">
        <v>103</v>
      </c>
      <c r="H9" s="3" t="s">
        <v>104</v>
      </c>
      <c r="I9" s="3" t="s">
        <v>105</v>
      </c>
      <c r="J9" s="3" t="s">
        <v>106</v>
      </c>
      <c r="K9" s="5" t="s">
        <v>107</v>
      </c>
      <c r="L9" s="5" t="s">
        <v>108</v>
      </c>
      <c r="M9" s="5" t="s">
        <v>109</v>
      </c>
      <c r="N9" s="3" t="s">
        <v>108</v>
      </c>
      <c r="O9" s="6">
        <v>183495</v>
      </c>
      <c r="P9" s="6">
        <v>183533</v>
      </c>
      <c r="Q9" s="6">
        <f>P9-O9</f>
      </c>
      <c r="R9" s="7">
        <v>100</v>
      </c>
      <c r="S9" s="6">
        <f>IF(Q9-R9&lt;0,"0",Q9-R9)</f>
      </c>
      <c r="T9" s="6">
        <v>0</v>
      </c>
      <c r="U9" s="8">
        <v>46161.27083333333</v>
      </c>
      <c r="V9" s="8">
        <v>46161.41909722222</v>
      </c>
      <c r="W9" s="9">
        <f>V9-U9</f>
      </c>
      <c r="X9" s="10">
        <v>0.125</v>
      </c>
      <c r="Y9" s="9">
        <f>IF(W9-X9&lt;0,"00:00:00",W9-X9)</f>
      </c>
      <c r="Z9" s="11">
        <v>145</v>
      </c>
      <c r="AA9" s="11">
        <v>7.35</v>
      </c>
      <c r="AB9" s="12">
        <f>Y9*Z9*24</f>
      </c>
      <c r="AC9" s="12">
        <f>S9*AA9</f>
      </c>
      <c r="AD9" s="12">
        <f>T9*AA9</f>
      </c>
      <c r="AE9" s="11">
        <v>735</v>
      </c>
      <c r="AF9" s="12">
        <v>0</v>
      </c>
      <c r="AG9" s="12">
        <f>SUM(AB9:AF9)</f>
      </c>
      <c r="AH9" s="3"/>
      <c r="AI9" s="3"/>
      <c r="AJ9" s="3"/>
      <c r="AK9" s="3"/>
      <c r="AL9" s="3"/>
      <c r="AO9" s="3" t="s">
        <v>50</v>
      </c>
      <c r="AP9" s="6">
        <f>Q9</f>
      </c>
    </row>
    <row r="10" ht="18" customHeight="1" spans="1:42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60</v>
      </c>
      <c r="F10" s="3" t="s">
        <v>110</v>
      </c>
      <c r="G10" s="3" t="s">
        <v>111</v>
      </c>
      <c r="H10" s="3" t="s">
        <v>112</v>
      </c>
      <c r="I10" s="3" t="s">
        <v>113</v>
      </c>
      <c r="J10" s="3" t="s">
        <v>114</v>
      </c>
      <c r="K10" s="5" t="s">
        <v>115</v>
      </c>
      <c r="L10" s="5" t="s">
        <v>67</v>
      </c>
      <c r="M10" s="5" t="s">
        <v>116</v>
      </c>
      <c r="N10" s="3" t="s">
        <v>67</v>
      </c>
      <c r="O10" s="6">
        <v>131753</v>
      </c>
      <c r="P10" s="6">
        <v>131769</v>
      </c>
      <c r="Q10" s="6">
        <v>200</v>
      </c>
      <c r="R10" s="7">
        <v>200</v>
      </c>
      <c r="S10" s="6">
        <f>IF(Q10-R10&lt;0,"0",Q10-R10)</f>
      </c>
      <c r="T10" s="6">
        <v>0</v>
      </c>
      <c r="U10" s="8">
        <v>46161.875</v>
      </c>
      <c r="V10" s="8">
        <v>46162.087592592594</v>
      </c>
      <c r="W10" s="9">
        <f>V10-U10</f>
      </c>
      <c r="X10" s="10">
        <v>0.25</v>
      </c>
      <c r="Y10" s="9">
        <f>IF(W10-X10&lt;0,"00:00:00",W10-X10)</f>
      </c>
      <c r="Z10" s="11">
        <v>145</v>
      </c>
      <c r="AA10" s="11">
        <v>0</v>
      </c>
      <c r="AB10" s="12">
        <f>Y10*Z10*24</f>
      </c>
      <c r="AC10" s="12">
        <f>S10*AA10</f>
      </c>
      <c r="AD10" s="12">
        <f>T10*AA10</f>
      </c>
      <c r="AE10" s="11">
        <v>1380</v>
      </c>
      <c r="AF10" s="12">
        <v>5.9</v>
      </c>
      <c r="AG10" s="12">
        <f>SUM(AB10:AF10)</f>
      </c>
      <c r="AH10" s="3"/>
      <c r="AI10" s="3"/>
      <c r="AJ10" s="3"/>
      <c r="AK10" s="3"/>
      <c r="AL10" s="3"/>
      <c r="AO10" s="3" t="s">
        <v>80</v>
      </c>
      <c r="AP10" s="6">
        <f>Q10</f>
      </c>
    </row>
    <row r="11" ht="18" customHeight="1" spans="1:42" x14ac:dyDescent="0.25">
      <c r="A11" s="3" t="s">
        <v>38</v>
      </c>
      <c r="B11" s="3" t="s">
        <v>39</v>
      </c>
      <c r="C11" s="3" t="s">
        <v>40</v>
      </c>
      <c r="D11" s="3" t="s">
        <v>117</v>
      </c>
      <c r="E11" s="3" t="s">
        <v>118</v>
      </c>
      <c r="F11" s="3" t="s">
        <v>119</v>
      </c>
      <c r="G11" s="4" t="s">
        <v>47</v>
      </c>
      <c r="H11" s="3" t="s">
        <v>120</v>
      </c>
      <c r="I11" s="4" t="s">
        <v>47</v>
      </c>
      <c r="J11" s="4" t="s">
        <v>47</v>
      </c>
      <c r="K11" s="5" t="s">
        <v>121</v>
      </c>
      <c r="L11" s="5" t="s">
        <v>122</v>
      </c>
      <c r="M11" s="5" t="s">
        <v>99</v>
      </c>
      <c r="N11" s="4" t="s">
        <v>47</v>
      </c>
      <c r="O11" s="6">
        <v>0</v>
      </c>
      <c r="P11" s="6">
        <v>0</v>
      </c>
      <c r="Q11" s="6">
        <v>0</v>
      </c>
      <c r="R11" s="7">
        <v>100</v>
      </c>
      <c r="S11" s="6">
        <f>IF(Q11-R11&lt;0,"0",Q11-R11)</f>
      </c>
      <c r="T11" s="6">
        <v>0</v>
      </c>
      <c r="U11" s="8">
        <v>46161.375</v>
      </c>
      <c r="V11" s="8">
        <v>46161.375</v>
      </c>
      <c r="W11" s="9">
        <f>V11-U11</f>
      </c>
      <c r="X11" s="10">
        <v>0.125</v>
      </c>
      <c r="Y11" s="9">
        <f>IF(W11-X11&lt;0,"00:00:00",W11-X11)</f>
      </c>
      <c r="Z11" s="11">
        <v>145</v>
      </c>
      <c r="AA11" s="11">
        <v>0</v>
      </c>
      <c r="AB11" s="12">
        <f>Y11*Z11*24</f>
      </c>
      <c r="AC11" s="12">
        <f>S11*AA11</f>
      </c>
      <c r="AD11" s="12">
        <f>T11*AA11</f>
      </c>
      <c r="AE11" s="11">
        <v>690</v>
      </c>
      <c r="AF11" s="12">
        <v>0</v>
      </c>
      <c r="AG11" s="12">
        <f>SUM(AB11:AF11)</f>
      </c>
      <c r="AH11" s="3"/>
      <c r="AI11" s="3"/>
      <c r="AJ11" s="3"/>
      <c r="AK11" s="3"/>
      <c r="AL11" s="3"/>
      <c r="AO11" s="3" t="s">
        <v>69</v>
      </c>
      <c r="AP11" s="6">
        <f>Q11</f>
      </c>
    </row>
    <row r="12" ht="18" customHeight="1" spans="1:42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123</v>
      </c>
      <c r="F12" s="3" t="s">
        <v>124</v>
      </c>
      <c r="G12" s="3" t="s">
        <v>125</v>
      </c>
      <c r="H12" s="3" t="s">
        <v>126</v>
      </c>
      <c r="I12" s="3" t="s">
        <v>127</v>
      </c>
      <c r="J12" s="3" t="s">
        <v>128</v>
      </c>
      <c r="K12" s="5" t="s">
        <v>129</v>
      </c>
      <c r="L12" s="5" t="s">
        <v>67</v>
      </c>
      <c r="M12" s="5" t="s">
        <v>130</v>
      </c>
      <c r="N12" s="3" t="s">
        <v>67</v>
      </c>
      <c r="O12" s="6">
        <v>20645</v>
      </c>
      <c r="P12" s="6">
        <v>20707</v>
      </c>
      <c r="Q12" s="6">
        <f>P12-O12</f>
      </c>
      <c r="R12" s="7">
        <v>100</v>
      </c>
      <c r="S12" s="6">
        <f>IF(Q12-R12&lt;0,"0",Q12-R12)</f>
      </c>
      <c r="T12" s="6">
        <v>0</v>
      </c>
      <c r="U12" s="8">
        <v>46161.39583333333</v>
      </c>
      <c r="V12" s="8">
        <v>46161.50854166667</v>
      </c>
      <c r="W12" s="9">
        <f>V12-U12</f>
      </c>
      <c r="X12" s="10">
        <v>0.16666666666666666</v>
      </c>
      <c r="Y12" s="9">
        <f>IF(W12-X12&lt;0,"00:00:00",W12-X12)</f>
      </c>
      <c r="Z12" s="11">
        <v>145</v>
      </c>
      <c r="AA12" s="11">
        <v>0</v>
      </c>
      <c r="AB12" s="12">
        <f>Y12*Z12*24</f>
      </c>
      <c r="AC12" s="12">
        <f>S12*AA12</f>
      </c>
      <c r="AD12" s="12">
        <f>T12*AA12</f>
      </c>
      <c r="AE12" s="11">
        <v>690</v>
      </c>
      <c r="AF12" s="12">
        <v>9.5</v>
      </c>
      <c r="AG12" s="12">
        <f>SUM(AB12:AF12)</f>
      </c>
      <c r="AH12" s="3"/>
      <c r="AI12" s="3"/>
      <c r="AJ12" s="3"/>
      <c r="AK12" s="3"/>
      <c r="AL12" s="3"/>
      <c r="AO12" s="3" t="s">
        <v>131</v>
      </c>
      <c r="AP12" s="6">
        <f>Q12</f>
      </c>
    </row>
    <row r="13" ht="18" customHeight="1" spans="1:42" x14ac:dyDescent="0.25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123</v>
      </c>
      <c r="F13" s="3" t="s">
        <v>132</v>
      </c>
      <c r="G13" s="3" t="s">
        <v>125</v>
      </c>
      <c r="H13" s="3" t="s">
        <v>133</v>
      </c>
      <c r="I13" s="3" t="s">
        <v>134</v>
      </c>
      <c r="J13" s="3" t="s">
        <v>128</v>
      </c>
      <c r="K13" s="5" t="s">
        <v>129</v>
      </c>
      <c r="L13" s="5" t="s">
        <v>67</v>
      </c>
      <c r="M13" s="5" t="s">
        <v>130</v>
      </c>
      <c r="N13" s="3" t="s">
        <v>67</v>
      </c>
      <c r="O13" s="6">
        <v>124526</v>
      </c>
      <c r="P13" s="6">
        <v>124585</v>
      </c>
      <c r="Q13" s="6">
        <f>P13-O13</f>
      </c>
      <c r="R13" s="7">
        <v>100</v>
      </c>
      <c r="S13" s="6">
        <f>IF(Q13-R13&lt;0,"0",Q13-R13)</f>
      </c>
      <c r="T13" s="6">
        <v>0</v>
      </c>
      <c r="U13" s="8">
        <v>46161.39583333333</v>
      </c>
      <c r="V13" s="8">
        <v>46161.511145833334</v>
      </c>
      <c r="W13" s="9">
        <f>V13-U13</f>
      </c>
      <c r="X13" s="10">
        <v>0.125</v>
      </c>
      <c r="Y13" s="9">
        <f>IF(W13-X13&lt;0,"00:00:00",W13-X13)</f>
      </c>
      <c r="Z13" s="11">
        <v>145</v>
      </c>
      <c r="AA13" s="11">
        <v>0</v>
      </c>
      <c r="AB13" s="12">
        <f>Y13*Z13*24</f>
      </c>
      <c r="AC13" s="12">
        <f>S13*AA13</f>
      </c>
      <c r="AD13" s="12">
        <f>T13*AA13</f>
      </c>
      <c r="AE13" s="11">
        <v>690</v>
      </c>
      <c r="AF13" s="12">
        <v>5.6</v>
      </c>
      <c r="AG13" s="12">
        <f>SUM(AB13:AF13)</f>
      </c>
      <c r="AH13" s="3"/>
      <c r="AI13" s="3"/>
      <c r="AJ13" s="3"/>
      <c r="AK13" s="3"/>
      <c r="AL13" s="3"/>
      <c r="AO13" s="3" t="s">
        <v>69</v>
      </c>
      <c r="AP13" s="6">
        <f>Q13</f>
      </c>
    </row>
    <row r="14" ht="18" customHeight="1" spans="1:42" x14ac:dyDescent="0.25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123</v>
      </c>
      <c r="F14" s="3" t="s">
        <v>135</v>
      </c>
      <c r="G14" s="3" t="s">
        <v>125</v>
      </c>
      <c r="H14" s="3" t="s">
        <v>136</v>
      </c>
      <c r="I14" s="3" t="s">
        <v>137</v>
      </c>
      <c r="J14" s="3" t="s">
        <v>128</v>
      </c>
      <c r="K14" s="5" t="s">
        <v>129</v>
      </c>
      <c r="L14" s="5" t="s">
        <v>67</v>
      </c>
      <c r="M14" s="5" t="s">
        <v>130</v>
      </c>
      <c r="N14" s="3" t="s">
        <v>67</v>
      </c>
      <c r="O14" s="6">
        <v>97761</v>
      </c>
      <c r="P14" s="6">
        <v>97821</v>
      </c>
      <c r="Q14" s="6">
        <f>P14-O14</f>
      </c>
      <c r="R14" s="7">
        <v>100</v>
      </c>
      <c r="S14" s="6">
        <f>IF(Q14-R14&lt;0,"0",Q14-R14)</f>
      </c>
      <c r="T14" s="6">
        <v>0</v>
      </c>
      <c r="U14" s="8">
        <v>46161.39583333333</v>
      </c>
      <c r="V14" s="8">
        <v>46161.510092592594</v>
      </c>
      <c r="W14" s="9">
        <f>V14-U14</f>
      </c>
      <c r="X14" s="10">
        <v>0.125</v>
      </c>
      <c r="Y14" s="9">
        <f>IF(W14-X14&lt;0,"00:00:00",W14-X14)</f>
      </c>
      <c r="Z14" s="11">
        <v>145</v>
      </c>
      <c r="AA14" s="11">
        <v>6.9</v>
      </c>
      <c r="AB14" s="12">
        <f>Y14*Z14*24</f>
      </c>
      <c r="AC14" s="12">
        <f>S14*AA14</f>
      </c>
      <c r="AD14" s="12">
        <f>T14*AA14</f>
      </c>
      <c r="AE14" s="11">
        <v>690</v>
      </c>
      <c r="AF14" s="12">
        <v>5.6</v>
      </c>
      <c r="AG14" s="12">
        <f>SUM(AB14:AF14)</f>
      </c>
      <c r="AH14" s="3"/>
      <c r="AI14" s="3"/>
      <c r="AJ14" s="3"/>
      <c r="AK14" s="3"/>
      <c r="AL14" s="3"/>
      <c r="AO14" s="3" t="s">
        <v>59</v>
      </c>
      <c r="AP14" s="6">
        <f>Q14</f>
      </c>
    </row>
    <row r="15" ht="18" customHeight="1" spans="1:42" x14ac:dyDescent="0.25">
      <c r="A15" s="3" t="s">
        <v>38</v>
      </c>
      <c r="B15" s="3" t="s">
        <v>39</v>
      </c>
      <c r="C15" s="3" t="s">
        <v>40</v>
      </c>
      <c r="D15" s="3" t="s">
        <v>41</v>
      </c>
      <c r="E15" s="3" t="s">
        <v>123</v>
      </c>
      <c r="F15" s="3" t="s">
        <v>138</v>
      </c>
      <c r="G15" s="3" t="s">
        <v>139</v>
      </c>
      <c r="H15" s="3" t="s">
        <v>140</v>
      </c>
      <c r="I15" s="3" t="s">
        <v>141</v>
      </c>
      <c r="J15" s="3" t="s">
        <v>142</v>
      </c>
      <c r="K15" s="5" t="s">
        <v>115</v>
      </c>
      <c r="L15" s="5" t="s">
        <v>67</v>
      </c>
      <c r="M15" s="5" t="s">
        <v>143</v>
      </c>
      <c r="N15" s="3" t="s">
        <v>67</v>
      </c>
      <c r="O15" s="6">
        <v>29581</v>
      </c>
      <c r="P15" s="6">
        <v>29665</v>
      </c>
      <c r="Q15" s="6">
        <f>P15-O15</f>
      </c>
      <c r="R15" s="7">
        <v>100</v>
      </c>
      <c r="S15" s="6">
        <f>IF(Q15-R15&lt;0,"0",Q15-R15)</f>
      </c>
      <c r="T15" s="6">
        <v>0</v>
      </c>
      <c r="U15" s="8">
        <v>46161.5</v>
      </c>
      <c r="V15" s="8">
        <v>46161.6069675926</v>
      </c>
      <c r="W15" s="9">
        <f>V15-U15</f>
      </c>
      <c r="X15" s="10">
        <v>0.125</v>
      </c>
      <c r="Y15" s="9">
        <f>IF(W15-X15&lt;0,"00:00:00",W15-X15)</f>
      </c>
      <c r="Z15" s="11">
        <v>145</v>
      </c>
      <c r="AA15" s="11">
        <v>6.9</v>
      </c>
      <c r="AB15" s="12">
        <f>Y15*Z15*24</f>
      </c>
      <c r="AC15" s="12">
        <f>S15*AA15</f>
      </c>
      <c r="AD15" s="12">
        <f>T15*AA15</f>
      </c>
      <c r="AE15" s="11">
        <v>690</v>
      </c>
      <c r="AF15" s="12">
        <v>5.9</v>
      </c>
      <c r="AG15" s="12">
        <f>SUM(AB15:AF15)</f>
      </c>
      <c r="AH15" s="3"/>
      <c r="AI15" s="3"/>
      <c r="AJ15" s="3"/>
      <c r="AK15" s="3"/>
      <c r="AL15" s="3"/>
      <c r="AO15" s="3" t="s">
        <v>144</v>
      </c>
      <c r="AP15" s="6">
        <f>Q15</f>
      </c>
    </row>
    <row r="16" ht="18" customHeight="1" spans="1:42" x14ac:dyDescent="0.25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123</v>
      </c>
      <c r="F16" s="3" t="s">
        <v>145</v>
      </c>
      <c r="G16" s="3" t="s">
        <v>146</v>
      </c>
      <c r="H16" s="3" t="s">
        <v>147</v>
      </c>
      <c r="I16" s="3" t="s">
        <v>148</v>
      </c>
      <c r="J16" s="3" t="s">
        <v>149</v>
      </c>
      <c r="K16" s="5" t="s">
        <v>115</v>
      </c>
      <c r="L16" s="5" t="s">
        <v>67</v>
      </c>
      <c r="M16" s="5" t="s">
        <v>143</v>
      </c>
      <c r="N16" s="3" t="s">
        <v>67</v>
      </c>
      <c r="O16" s="6">
        <v>539287</v>
      </c>
      <c r="P16" s="6">
        <v>539353</v>
      </c>
      <c r="Q16" s="6">
        <f>P16-O16</f>
      </c>
      <c r="R16" s="7">
        <v>100</v>
      </c>
      <c r="S16" s="6">
        <f>IF(Q16-R16&lt;0,"0",Q16-R16)</f>
      </c>
      <c r="T16" s="6">
        <v>0</v>
      </c>
      <c r="U16" s="8">
        <v>46161.5</v>
      </c>
      <c r="V16" s="8">
        <v>46161.73091435185</v>
      </c>
      <c r="W16" s="9">
        <f>V16-U16</f>
      </c>
      <c r="X16" s="10">
        <v>0.125</v>
      </c>
      <c r="Y16" s="9">
        <f>IF(W16-X16&lt;0,"00:00:00",W16-X16)</f>
      </c>
      <c r="Z16" s="11">
        <v>145</v>
      </c>
      <c r="AA16" s="11">
        <v>6.9</v>
      </c>
      <c r="AB16" s="12">
        <f>Y16*Z16*24</f>
      </c>
      <c r="AC16" s="12">
        <f>S16*AA16</f>
      </c>
      <c r="AD16" s="12">
        <f>T16*AA16</f>
      </c>
      <c r="AE16" s="11">
        <v>690</v>
      </c>
      <c r="AF16" s="12">
        <v>5.9</v>
      </c>
      <c r="AG16" s="12">
        <f>SUM(AB16:AF16)</f>
      </c>
      <c r="AH16" s="3"/>
      <c r="AI16" s="3"/>
      <c r="AJ16" s="3"/>
      <c r="AK16" s="3"/>
      <c r="AL16" s="3"/>
      <c r="AO16" s="3" t="s">
        <v>59</v>
      </c>
      <c r="AP16" s="6">
        <f>Q16</f>
      </c>
    </row>
    <row r="17" ht="18" customHeight="1" spans="1:42" x14ac:dyDescent="0.25">
      <c r="A17" s="3" t="s">
        <v>38</v>
      </c>
      <c r="B17" s="3" t="s">
        <v>39</v>
      </c>
      <c r="C17" s="3" t="s">
        <v>40</v>
      </c>
      <c r="D17" s="3" t="s">
        <v>41</v>
      </c>
      <c r="E17" s="3" t="s">
        <v>150</v>
      </c>
      <c r="F17" s="3" t="s">
        <v>151</v>
      </c>
      <c r="G17" s="3" t="s">
        <v>152</v>
      </c>
      <c r="H17" s="3" t="s">
        <v>153</v>
      </c>
      <c r="I17" s="3" t="s">
        <v>154</v>
      </c>
      <c r="J17" s="3" t="s">
        <v>155</v>
      </c>
      <c r="K17" s="5" t="s">
        <v>156</v>
      </c>
      <c r="L17" s="5" t="s">
        <v>122</v>
      </c>
      <c r="M17" s="5" t="s">
        <v>68</v>
      </c>
      <c r="N17" s="4" t="s">
        <v>47</v>
      </c>
      <c r="O17" s="6">
        <v>142359</v>
      </c>
      <c r="P17" s="6">
        <v>142486</v>
      </c>
      <c r="Q17" s="6">
        <v>200</v>
      </c>
      <c r="R17" s="7">
        <v>200</v>
      </c>
      <c r="S17" s="6">
        <f>IF(Q17-R17&lt;0,"0",Q17-R17)</f>
      </c>
      <c r="T17" s="6">
        <v>0</v>
      </c>
      <c r="U17" s="8">
        <v>46162.39583333333</v>
      </c>
      <c r="V17" s="8">
        <v>46162.599398148144</v>
      </c>
      <c r="W17" s="9">
        <f>V17-U17</f>
      </c>
      <c r="X17" s="10">
        <v>0.25</v>
      </c>
      <c r="Y17" s="9">
        <f>IF(W17-X17&lt;0,"00:00:00",W17-X17)</f>
      </c>
      <c r="Z17" s="11">
        <v>145</v>
      </c>
      <c r="AA17" s="11">
        <v>0</v>
      </c>
      <c r="AB17" s="12">
        <f>Y17*Z17*24</f>
      </c>
      <c r="AC17" s="12">
        <f>S17*AA17</f>
      </c>
      <c r="AD17" s="12">
        <f>T17*AA17</f>
      </c>
      <c r="AE17" s="11">
        <v>1380</v>
      </c>
      <c r="AF17" s="12">
        <v>25</v>
      </c>
      <c r="AG17" s="12">
        <f>SUM(AB17:AF17)</f>
      </c>
      <c r="AH17" s="3"/>
      <c r="AI17" s="3"/>
      <c r="AJ17" s="3"/>
      <c r="AK17" s="3"/>
      <c r="AL17" s="3"/>
      <c r="AO17" s="3" t="s">
        <v>80</v>
      </c>
      <c r="AP17" s="6">
        <f>Q17</f>
      </c>
    </row>
    <row r="18" ht="18" customHeight="1" spans="1:42" x14ac:dyDescent="0.2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157</v>
      </c>
      <c r="F18" s="3" t="s">
        <v>158</v>
      </c>
      <c r="G18" s="3" t="s">
        <v>159</v>
      </c>
      <c r="H18" s="3" t="s">
        <v>160</v>
      </c>
      <c r="I18" s="3" t="s">
        <v>46</v>
      </c>
      <c r="J18" s="3" t="s">
        <v>161</v>
      </c>
      <c r="K18" s="5" t="s">
        <v>162</v>
      </c>
      <c r="L18" s="5" t="s">
        <v>49</v>
      </c>
      <c r="M18" s="5" t="s">
        <v>163</v>
      </c>
      <c r="N18" s="3" t="s">
        <v>67</v>
      </c>
      <c r="O18" s="6">
        <v>298135</v>
      </c>
      <c r="P18" s="6">
        <v>298748</v>
      </c>
      <c r="Q18" s="6">
        <v>500</v>
      </c>
      <c r="R18" s="7">
        <v>500</v>
      </c>
      <c r="S18" s="6">
        <f>IF(Q18-R18&lt;0,"0",Q18-R18)</f>
      </c>
      <c r="T18" s="6">
        <v>0</v>
      </c>
      <c r="U18" s="8">
        <v>46161.72916666667</v>
      </c>
      <c r="V18" s="8">
        <v>46162.53583333333</v>
      </c>
      <c r="W18" s="9">
        <f>V18-U18</f>
      </c>
      <c r="X18" s="10">
        <v>0.4583333333333333</v>
      </c>
      <c r="Y18" s="9">
        <f>IF(W18-X18&lt;0,"00:00:00",W18-X18)</f>
      </c>
      <c r="Z18" s="11">
        <v>145</v>
      </c>
      <c r="AA18" s="11">
        <v>0</v>
      </c>
      <c r="AB18" s="12">
        <f>Y18*Z18*24</f>
      </c>
      <c r="AC18" s="12">
        <f>S18*AA18</f>
      </c>
      <c r="AD18" s="12">
        <f>T18*AA18</f>
      </c>
      <c r="AE18" s="11">
        <v>3450</v>
      </c>
      <c r="AF18" s="12">
        <v>46.4</v>
      </c>
      <c r="AG18" s="12">
        <f>SUM(AB18:AF18)</f>
      </c>
      <c r="AH18" s="3"/>
      <c r="AI18" s="3"/>
      <c r="AJ18" s="3"/>
      <c r="AK18" s="3"/>
      <c r="AL18" s="3"/>
      <c r="AO18" s="3" t="s">
        <v>164</v>
      </c>
      <c r="AP18" s="6">
        <f>Q18</f>
      </c>
    </row>
    <row r="19" ht="18" customHeight="1" spans="1:42" x14ac:dyDescent="0.25">
      <c r="A19" s="3" t="s">
        <v>38</v>
      </c>
      <c r="B19" s="3" t="s">
        <v>39</v>
      </c>
      <c r="C19" s="3" t="s">
        <v>40</v>
      </c>
      <c r="D19" s="3" t="s">
        <v>41</v>
      </c>
      <c r="E19" s="3" t="s">
        <v>123</v>
      </c>
      <c r="F19" s="3" t="s">
        <v>165</v>
      </c>
      <c r="G19" s="3" t="s">
        <v>166</v>
      </c>
      <c r="H19" s="3" t="s">
        <v>167</v>
      </c>
      <c r="I19" s="3" t="s">
        <v>64</v>
      </c>
      <c r="J19" s="3" t="s">
        <v>168</v>
      </c>
      <c r="K19" s="5" t="s">
        <v>169</v>
      </c>
      <c r="L19" s="5" t="s">
        <v>67</v>
      </c>
      <c r="M19" s="5" t="s">
        <v>170</v>
      </c>
      <c r="N19" s="3" t="s">
        <v>171</v>
      </c>
      <c r="O19" s="6">
        <v>15059</v>
      </c>
      <c r="P19" s="6">
        <v>17769</v>
      </c>
      <c r="Q19" s="6">
        <f>P19-O19</f>
      </c>
      <c r="R19" s="7">
        <v>2970</v>
      </c>
      <c r="S19" s="6">
        <f>IF(Q19-R19&lt;0,"0",Q19-R19)</f>
      </c>
      <c r="T19" s="6">
        <v>0</v>
      </c>
      <c r="U19" s="8">
        <v>46161.75</v>
      </c>
      <c r="V19" s="8">
        <v>46168.35722222222</v>
      </c>
      <c r="W19" s="9">
        <f>V19-U19</f>
      </c>
      <c r="X19" s="10">
        <v>3.75</v>
      </c>
      <c r="Y19" s="9">
        <f>IF(W19-X19&lt;0,"00:00:00",W19-X19)</f>
      </c>
      <c r="Z19" s="11">
        <v>145</v>
      </c>
      <c r="AA19" s="11">
        <v>0</v>
      </c>
      <c r="AB19" s="12">
        <f>Y19*Z19*24</f>
      </c>
      <c r="AC19" s="12">
        <f>S19*AA19</f>
      </c>
      <c r="AD19" s="12">
        <f>T19*AA19</f>
      </c>
      <c r="AE19" s="11">
        <v>22776.75</v>
      </c>
      <c r="AF19" s="12">
        <v>150.9</v>
      </c>
      <c r="AG19" s="12">
        <f>SUM(AB19:AF19)</f>
      </c>
      <c r="AH19" s="3"/>
      <c r="AI19" s="3"/>
      <c r="AJ19" s="3"/>
      <c r="AK19" s="3"/>
      <c r="AL19" s="3"/>
      <c r="AO19" s="3" t="s">
        <v>172</v>
      </c>
      <c r="AP19" s="6">
        <f>Q19</f>
      </c>
    </row>
    <row r="20" ht="18" customHeight="1" spans="1:42" x14ac:dyDescent="0.25">
      <c r="A20" s="3" t="s">
        <v>38</v>
      </c>
      <c r="B20" s="3" t="s">
        <v>39</v>
      </c>
      <c r="C20" s="3" t="s">
        <v>40</v>
      </c>
      <c r="D20" s="3" t="s">
        <v>41</v>
      </c>
      <c r="E20" s="3" t="s">
        <v>123</v>
      </c>
      <c r="F20" s="3" t="s">
        <v>173</v>
      </c>
      <c r="G20" s="3" t="s">
        <v>174</v>
      </c>
      <c r="H20" s="3" t="s">
        <v>175</v>
      </c>
      <c r="I20" s="3" t="s">
        <v>176</v>
      </c>
      <c r="J20" s="3" t="s">
        <v>177</v>
      </c>
      <c r="K20" s="5" t="s">
        <v>178</v>
      </c>
      <c r="L20" s="5" t="s">
        <v>67</v>
      </c>
      <c r="M20" s="5" t="s">
        <v>179</v>
      </c>
      <c r="N20" s="4" t="s">
        <v>47</v>
      </c>
      <c r="O20" s="6">
        <v>346971</v>
      </c>
      <c r="P20" s="6">
        <v>346998</v>
      </c>
      <c r="Q20" s="6">
        <f>P20-O20</f>
      </c>
      <c r="R20" s="7">
        <v>100</v>
      </c>
      <c r="S20" s="6">
        <f>IF(Q20-R20&lt;0,"0",Q20-R20)</f>
      </c>
      <c r="T20" s="6">
        <v>0</v>
      </c>
      <c r="U20" s="8">
        <v>46162.66666666667</v>
      </c>
      <c r="V20" s="8">
        <v>46162.7860300926</v>
      </c>
      <c r="W20" s="9">
        <f>V20-U20</f>
      </c>
      <c r="X20" s="10">
        <v>0.125</v>
      </c>
      <c r="Y20" s="9">
        <f>IF(W20-X20&lt;0,"00:00:00",W20-X20)</f>
      </c>
      <c r="Z20" s="11">
        <v>145</v>
      </c>
      <c r="AA20" s="11">
        <v>6.9</v>
      </c>
      <c r="AB20" s="12">
        <f>Y20*Z20*24</f>
      </c>
      <c r="AC20" s="12">
        <f>S20*AA20</f>
      </c>
      <c r="AD20" s="12">
        <f>T20*AA20</f>
      </c>
      <c r="AE20" s="11">
        <v>690</v>
      </c>
      <c r="AF20" s="12">
        <v>0</v>
      </c>
      <c r="AG20" s="12">
        <f>SUM(AB20:AF20)</f>
      </c>
      <c r="AH20" s="3"/>
      <c r="AI20" s="3"/>
      <c r="AJ20" s="3"/>
      <c r="AK20" s="3"/>
      <c r="AL20" s="3"/>
      <c r="AO20" s="3" t="s">
        <v>59</v>
      </c>
      <c r="AP20" s="6">
        <f>Q20</f>
      </c>
    </row>
    <row r="21" ht="18" customHeight="1" spans="1:42" x14ac:dyDescent="0.25">
      <c r="A21" s="3" t="s">
        <v>38</v>
      </c>
      <c r="B21" s="3" t="s">
        <v>39</v>
      </c>
      <c r="C21" s="3" t="s">
        <v>40</v>
      </c>
      <c r="D21" s="3" t="s">
        <v>41</v>
      </c>
      <c r="E21" s="3" t="s">
        <v>60</v>
      </c>
      <c r="F21" s="3" t="s">
        <v>180</v>
      </c>
      <c r="G21" s="3" t="s">
        <v>181</v>
      </c>
      <c r="H21" s="3" t="s">
        <v>182</v>
      </c>
      <c r="I21" s="3" t="s">
        <v>183</v>
      </c>
      <c r="J21" s="3" t="s">
        <v>184</v>
      </c>
      <c r="K21" s="5" t="s">
        <v>79</v>
      </c>
      <c r="L21" s="5" t="s">
        <v>67</v>
      </c>
      <c r="M21" s="5" t="s">
        <v>68</v>
      </c>
      <c r="N21" s="4" t="s">
        <v>47</v>
      </c>
      <c r="O21" s="6">
        <v>34016</v>
      </c>
      <c r="P21" s="6">
        <v>34125</v>
      </c>
      <c r="Q21" s="6">
        <v>200</v>
      </c>
      <c r="R21" s="7">
        <v>200</v>
      </c>
      <c r="S21" s="6">
        <f>IF(Q21-R21&lt;0,"0",Q21-R21)</f>
      </c>
      <c r="T21" s="6">
        <v>0</v>
      </c>
      <c r="U21" s="8">
        <v>46162.375</v>
      </c>
      <c r="V21" s="8">
        <v>46162.51627314815</v>
      </c>
      <c r="W21" s="9">
        <f>V21-U21</f>
      </c>
      <c r="X21" s="10">
        <v>0.25</v>
      </c>
      <c r="Y21" s="9">
        <f>IF(W21-X21&lt;0,"00:00:00",W21-X21)</f>
      </c>
      <c r="Z21" s="11">
        <v>145</v>
      </c>
      <c r="AA21" s="11">
        <v>0</v>
      </c>
      <c r="AB21" s="12">
        <f>Y21*Z21*24</f>
      </c>
      <c r="AC21" s="12">
        <f>S21*AA21</f>
      </c>
      <c r="AD21" s="12">
        <f>T21*AA21</f>
      </c>
      <c r="AE21" s="11">
        <v>1380</v>
      </c>
      <c r="AF21" s="12">
        <v>25</v>
      </c>
      <c r="AG21" s="12">
        <f>SUM(AB21:AF21)</f>
      </c>
      <c r="AH21" s="3"/>
      <c r="AI21" s="3"/>
      <c r="AJ21" s="3"/>
      <c r="AK21" s="3"/>
      <c r="AL21" s="3"/>
      <c r="AO21" s="3" t="s">
        <v>80</v>
      </c>
      <c r="AP21" s="6">
        <f>Q21</f>
      </c>
    </row>
    <row r="22" ht="18" customHeight="1" spans="1:42" x14ac:dyDescent="0.25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123</v>
      </c>
      <c r="F22" s="3" t="s">
        <v>185</v>
      </c>
      <c r="G22" s="3" t="s">
        <v>186</v>
      </c>
      <c r="H22" s="3" t="s">
        <v>187</v>
      </c>
      <c r="I22" s="3" t="s">
        <v>188</v>
      </c>
      <c r="J22" s="3" t="s">
        <v>189</v>
      </c>
      <c r="K22" s="5" t="s">
        <v>190</v>
      </c>
      <c r="L22" s="5" t="s">
        <v>67</v>
      </c>
      <c r="M22" s="5" t="s">
        <v>191</v>
      </c>
      <c r="N22" s="3" t="s">
        <v>67</v>
      </c>
      <c r="O22" s="6">
        <v>27261</v>
      </c>
      <c r="P22" s="6">
        <v>27355</v>
      </c>
      <c r="Q22" s="6">
        <f>P22-O22</f>
      </c>
      <c r="R22" s="7">
        <v>100</v>
      </c>
      <c r="S22" s="6">
        <f>IF(Q22-R22&lt;0,"0",Q22-R22)</f>
      </c>
      <c r="T22" s="6">
        <v>0</v>
      </c>
      <c r="U22" s="8">
        <v>46161.85416666667</v>
      </c>
      <c r="V22" s="8">
        <v>46162.43001157408</v>
      </c>
      <c r="W22" s="9">
        <f>V22-U22</f>
      </c>
      <c r="X22" s="10">
        <v>0.125</v>
      </c>
      <c r="Y22" s="9">
        <f>IF(W22-X22&lt;0,"00:00:00",W22-X22)</f>
      </c>
      <c r="Z22" s="11">
        <v>145</v>
      </c>
      <c r="AA22" s="11">
        <v>6.9</v>
      </c>
      <c r="AB22" s="12">
        <f>Y22*Z22*24</f>
      </c>
      <c r="AC22" s="12">
        <f>S22*AA22</f>
      </c>
      <c r="AD22" s="12">
        <f>T22*AA22</f>
      </c>
      <c r="AE22" s="11">
        <v>690</v>
      </c>
      <c r="AF22" s="12">
        <v>13.6</v>
      </c>
      <c r="AG22" s="12">
        <f>SUM(AB22:AF22)</f>
      </c>
      <c r="AH22" s="3"/>
      <c r="AI22" s="3"/>
      <c r="AJ22" s="3"/>
      <c r="AK22" s="3"/>
      <c r="AL22" s="3"/>
      <c r="AO22" s="3" t="s">
        <v>59</v>
      </c>
      <c r="AP22" s="6">
        <f>Q22</f>
      </c>
    </row>
    <row r="23" ht="18" customHeight="1" spans="1:42" x14ac:dyDescent="0.25">
      <c r="A23" s="3" t="s">
        <v>38</v>
      </c>
      <c r="B23" s="3" t="s">
        <v>39</v>
      </c>
      <c r="C23" s="3" t="s">
        <v>40</v>
      </c>
      <c r="D23" s="3" t="s">
        <v>41</v>
      </c>
      <c r="E23" s="3" t="s">
        <v>123</v>
      </c>
      <c r="F23" s="3" t="s">
        <v>192</v>
      </c>
      <c r="G23" s="3" t="s">
        <v>193</v>
      </c>
      <c r="H23" s="3" t="s">
        <v>194</v>
      </c>
      <c r="I23" s="3" t="s">
        <v>141</v>
      </c>
      <c r="J23" s="3" t="s">
        <v>114</v>
      </c>
      <c r="K23" s="5" t="s">
        <v>190</v>
      </c>
      <c r="L23" s="5" t="s">
        <v>67</v>
      </c>
      <c r="M23" s="5" t="s">
        <v>129</v>
      </c>
      <c r="N23" s="3" t="s">
        <v>67</v>
      </c>
      <c r="O23" s="6">
        <v>29775</v>
      </c>
      <c r="P23" s="6">
        <v>29861</v>
      </c>
      <c r="Q23" s="6">
        <f>P23-O23</f>
      </c>
      <c r="R23" s="7">
        <v>100</v>
      </c>
      <c r="S23" s="6">
        <f>IF(Q23-R23&lt;0,"0",Q23-R23)</f>
      </c>
      <c r="T23" s="6">
        <v>0</v>
      </c>
      <c r="U23" s="8">
        <v>46161.83333333333</v>
      </c>
      <c r="V23" s="8">
        <v>46161.96251157408</v>
      </c>
      <c r="W23" s="9">
        <f>V23-U23</f>
      </c>
      <c r="X23" s="10">
        <v>0.125</v>
      </c>
      <c r="Y23" s="9">
        <f>IF(W23-X23&lt;0,"00:00:00",W23-X23)</f>
      </c>
      <c r="Z23" s="11">
        <v>145</v>
      </c>
      <c r="AA23" s="11">
        <v>6.9</v>
      </c>
      <c r="AB23" s="12">
        <f>Y23*Z23*24</f>
      </c>
      <c r="AC23" s="12">
        <f>S23*AA23</f>
      </c>
      <c r="AD23" s="12">
        <f>T23*AA23</f>
      </c>
      <c r="AE23" s="11">
        <v>690</v>
      </c>
      <c r="AF23" s="12">
        <v>13.7</v>
      </c>
      <c r="AG23" s="12">
        <f>SUM(AB23:AF23)</f>
      </c>
      <c r="AH23" s="3"/>
      <c r="AI23" s="3"/>
      <c r="AJ23" s="3"/>
      <c r="AK23" s="3"/>
      <c r="AL23" s="3"/>
      <c r="AO23" s="3" t="s">
        <v>59</v>
      </c>
      <c r="AP23" s="6">
        <f>Q23</f>
      </c>
    </row>
    <row r="24" ht="18" customHeight="1" spans="1:42" x14ac:dyDescent="0.25">
      <c r="A24" s="3" t="s">
        <v>38</v>
      </c>
      <c r="B24" s="3" t="s">
        <v>39</v>
      </c>
      <c r="C24" s="3" t="s">
        <v>40</v>
      </c>
      <c r="D24" s="3" t="s">
        <v>41</v>
      </c>
      <c r="E24" s="3" t="s">
        <v>195</v>
      </c>
      <c r="F24" s="3" t="s">
        <v>196</v>
      </c>
      <c r="G24" s="3" t="s">
        <v>197</v>
      </c>
      <c r="H24" s="3" t="s">
        <v>198</v>
      </c>
      <c r="I24" s="3" t="s">
        <v>199</v>
      </c>
      <c r="J24" s="3" t="s">
        <v>200</v>
      </c>
      <c r="K24" s="5" t="s">
        <v>115</v>
      </c>
      <c r="L24" s="5" t="s">
        <v>67</v>
      </c>
      <c r="M24" s="5" t="s">
        <v>201</v>
      </c>
      <c r="N24" s="3" t="s">
        <v>98</v>
      </c>
      <c r="O24" s="6">
        <v>197811</v>
      </c>
      <c r="P24" s="6">
        <v>198688</v>
      </c>
      <c r="Q24" s="6">
        <f>P24-O24</f>
      </c>
      <c r="R24" s="7">
        <v>758</v>
      </c>
      <c r="S24" s="6">
        <f>IF(Q24-R24&lt;0,"0",Q24-R24)</f>
      </c>
      <c r="T24" s="6">
        <v>0</v>
      </c>
      <c r="U24" s="8">
        <v>46162.29166666667</v>
      </c>
      <c r="V24" s="8">
        <v>46164.345717592594</v>
      </c>
      <c r="W24" s="9">
        <f>V24-U24</f>
      </c>
      <c r="X24" s="10">
        <v>1.4166666666666667</v>
      </c>
      <c r="Y24" s="9">
        <f>IF(W24-X24&lt;0,"00:00:00",W24-X24)</f>
      </c>
      <c r="Z24" s="11">
        <v>145</v>
      </c>
      <c r="AA24" s="11">
        <v>0</v>
      </c>
      <c r="AB24" s="12">
        <f>Y24*Z24*24</f>
      </c>
      <c r="AC24" s="12">
        <f>S24*AA24</f>
      </c>
      <c r="AD24" s="12">
        <f>T24*AA24</f>
      </c>
      <c r="AE24" s="11">
        <v>7412.45</v>
      </c>
      <c r="AF24" s="12">
        <v>85.3</v>
      </c>
      <c r="AG24" s="12">
        <f>SUM(AB24:AF24)</f>
      </c>
      <c r="AH24" s="3"/>
      <c r="AI24" s="3"/>
      <c r="AJ24" s="3"/>
      <c r="AK24" s="3"/>
      <c r="AL24" s="3"/>
      <c r="AO24" s="3" t="s">
        <v>202</v>
      </c>
      <c r="AP24" s="6">
        <f>Q24</f>
      </c>
    </row>
    <row r="25" ht="18" customHeight="1" spans="1:42" x14ac:dyDescent="0.25">
      <c r="A25" s="3" t="s">
        <v>38</v>
      </c>
      <c r="B25" s="3" t="s">
        <v>39</v>
      </c>
      <c r="C25" s="3" t="s">
        <v>40</v>
      </c>
      <c r="D25" s="3" t="s">
        <v>41</v>
      </c>
      <c r="E25" s="3" t="s">
        <v>60</v>
      </c>
      <c r="F25" s="3" t="s">
        <v>203</v>
      </c>
      <c r="G25" s="3" t="s">
        <v>204</v>
      </c>
      <c r="H25" s="3" t="s">
        <v>205</v>
      </c>
      <c r="I25" s="3" t="s">
        <v>206</v>
      </c>
      <c r="J25" s="3" t="s">
        <v>207</v>
      </c>
      <c r="K25" s="5" t="s">
        <v>79</v>
      </c>
      <c r="L25" s="5" t="s">
        <v>67</v>
      </c>
      <c r="M25" s="5" t="s">
        <v>68</v>
      </c>
      <c r="N25" s="4" t="s">
        <v>47</v>
      </c>
      <c r="O25" s="6">
        <v>46497</v>
      </c>
      <c r="P25" s="6">
        <v>46698</v>
      </c>
      <c r="Q25" s="6">
        <v>200</v>
      </c>
      <c r="R25" s="7">
        <v>200</v>
      </c>
      <c r="S25" s="6">
        <f>IF(Q25-R25&lt;0,"0",Q25-R25)</f>
      </c>
      <c r="T25" s="6">
        <v>0</v>
      </c>
      <c r="U25" s="8">
        <v>46161.91666666667</v>
      </c>
      <c r="V25" s="8">
        <v>46162.08490740741</v>
      </c>
      <c r="W25" s="9">
        <f>V25-U25</f>
      </c>
      <c r="X25" s="10">
        <v>0.25</v>
      </c>
      <c r="Y25" s="9">
        <f>IF(W25-X25&lt;0,"00:00:00",W25-X25)</f>
      </c>
      <c r="Z25" s="11">
        <v>145</v>
      </c>
      <c r="AA25" s="11">
        <v>0</v>
      </c>
      <c r="AB25" s="12">
        <f>Y25*Z25*24</f>
      </c>
      <c r="AC25" s="12">
        <f>S25*AA25</f>
      </c>
      <c r="AD25" s="12">
        <f>T25*AA25</f>
      </c>
      <c r="AE25" s="11">
        <v>1380</v>
      </c>
      <c r="AF25" s="12">
        <v>35</v>
      </c>
      <c r="AG25" s="12">
        <f>SUM(AB25:AF25)</f>
      </c>
      <c r="AH25" s="3"/>
      <c r="AI25" s="3"/>
      <c r="AJ25" s="3"/>
      <c r="AK25" s="3"/>
      <c r="AL25" s="3"/>
      <c r="AO25" s="3" t="s">
        <v>80</v>
      </c>
      <c r="AP25" s="6">
        <f>Q25</f>
      </c>
    </row>
    <row r="26" ht="18" customHeight="1" spans="1:42" x14ac:dyDescent="0.25">
      <c r="A26" s="3" t="s">
        <v>38</v>
      </c>
      <c r="B26" s="3" t="s">
        <v>39</v>
      </c>
      <c r="C26" s="3" t="s">
        <v>40</v>
      </c>
      <c r="D26" s="3" t="s">
        <v>41</v>
      </c>
      <c r="E26" s="3" t="s">
        <v>195</v>
      </c>
      <c r="F26" s="3" t="s">
        <v>208</v>
      </c>
      <c r="G26" s="3" t="s">
        <v>209</v>
      </c>
      <c r="H26" s="3" t="s">
        <v>210</v>
      </c>
      <c r="I26" s="3" t="s">
        <v>211</v>
      </c>
      <c r="J26" s="3" t="s">
        <v>212</v>
      </c>
      <c r="K26" s="5" t="s">
        <v>115</v>
      </c>
      <c r="L26" s="5" t="s">
        <v>67</v>
      </c>
      <c r="M26" s="5" t="s">
        <v>201</v>
      </c>
      <c r="N26" s="3" t="s">
        <v>98</v>
      </c>
      <c r="O26" s="6">
        <v>421294</v>
      </c>
      <c r="P26" s="6">
        <v>422178</v>
      </c>
      <c r="Q26" s="6">
        <f>P26-O26</f>
      </c>
      <c r="R26" s="7">
        <v>758</v>
      </c>
      <c r="S26" s="6">
        <f>IF(Q26-R26&lt;0,"0",Q26-R26)</f>
      </c>
      <c r="T26" s="6">
        <v>0</v>
      </c>
      <c r="U26" s="8">
        <v>46162.20833333333</v>
      </c>
      <c r="V26" s="8">
        <v>46164.7028125</v>
      </c>
      <c r="W26" s="9">
        <f>V26-U26</f>
      </c>
      <c r="X26" s="10">
        <v>1.4166666666666667</v>
      </c>
      <c r="Y26" s="9">
        <f>IF(W26-X26&lt;0,"00:00:00",W26-X26)</f>
      </c>
      <c r="Z26" s="11">
        <v>145</v>
      </c>
      <c r="AA26" s="11">
        <v>0</v>
      </c>
      <c r="AB26" s="12">
        <f>Y26*Z26*24</f>
      </c>
      <c r="AC26" s="12">
        <f>S26*AA26</f>
      </c>
      <c r="AD26" s="12">
        <f>T26*AA26</f>
      </c>
      <c r="AE26" s="11">
        <v>7412.45</v>
      </c>
      <c r="AF26" s="12">
        <v>85.3</v>
      </c>
      <c r="AG26" s="12">
        <f>SUM(AB26:AF26)</f>
      </c>
      <c r="AH26" s="3"/>
      <c r="AI26" s="3"/>
      <c r="AJ26" s="3"/>
      <c r="AK26" s="3"/>
      <c r="AL26" s="3"/>
      <c r="AO26" s="3" t="s">
        <v>202</v>
      </c>
      <c r="AP26" s="6">
        <f>Q26</f>
      </c>
    </row>
    <row r="27" ht="18" customHeight="1" spans="1:42" x14ac:dyDescent="0.25">
      <c r="A27" s="3" t="s">
        <v>38</v>
      </c>
      <c r="B27" s="3" t="s">
        <v>39</v>
      </c>
      <c r="C27" s="3" t="s">
        <v>40</v>
      </c>
      <c r="D27" s="3" t="s">
        <v>41</v>
      </c>
      <c r="E27" s="3" t="s">
        <v>42</v>
      </c>
      <c r="F27" s="3" t="s">
        <v>213</v>
      </c>
      <c r="G27" s="3" t="s">
        <v>214</v>
      </c>
      <c r="H27" s="3" t="s">
        <v>215</v>
      </c>
      <c r="I27" s="3" t="s">
        <v>216</v>
      </c>
      <c r="J27" s="3" t="s">
        <v>217</v>
      </c>
      <c r="K27" s="5" t="s">
        <v>48</v>
      </c>
      <c r="L27" s="5" t="s">
        <v>49</v>
      </c>
      <c r="M27" s="5" t="s">
        <v>48</v>
      </c>
      <c r="N27" s="3" t="s">
        <v>49</v>
      </c>
      <c r="O27" s="6">
        <v>2595</v>
      </c>
      <c r="P27" s="6">
        <v>2596</v>
      </c>
      <c r="Q27" s="6">
        <f>P27-O27</f>
      </c>
      <c r="R27" s="7">
        <v>100</v>
      </c>
      <c r="S27" s="6">
        <f>IF(Q27-R27&lt;0,"0",Q27-R27)</f>
      </c>
      <c r="T27" s="6">
        <v>0</v>
      </c>
      <c r="U27" s="8">
        <v>46162.3125</v>
      </c>
      <c r="V27" s="8">
        <v>46162.444120370375</v>
      </c>
      <c r="W27" s="9">
        <f>V27-U27</f>
      </c>
      <c r="X27" s="10">
        <v>0.125</v>
      </c>
      <c r="Y27" s="9">
        <f>IF(W27-X27&lt;0,"00:00:00",W27-X27)</f>
      </c>
      <c r="Z27" s="11">
        <v>145</v>
      </c>
      <c r="AA27" s="11">
        <v>7.35</v>
      </c>
      <c r="AB27" s="12">
        <f>Y27*Z27*24</f>
      </c>
      <c r="AC27" s="12">
        <f>S27*AA27</f>
      </c>
      <c r="AD27" s="12">
        <f>T27*AA27</f>
      </c>
      <c r="AE27" s="11">
        <v>735</v>
      </c>
      <c r="AF27" s="12">
        <v>0</v>
      </c>
      <c r="AG27" s="12">
        <f>SUM(AB27:AF27)</f>
      </c>
      <c r="AH27" s="3"/>
      <c r="AI27" s="3"/>
      <c r="AJ27" s="3"/>
      <c r="AK27" s="3"/>
      <c r="AL27" s="3"/>
      <c r="AO27" s="3" t="s">
        <v>50</v>
      </c>
      <c r="AP27" s="6">
        <f>Q27</f>
      </c>
    </row>
    <row r="28" ht="18" customHeight="1" spans="1:42" x14ac:dyDescent="0.25">
      <c r="A28" s="3" t="s">
        <v>38</v>
      </c>
      <c r="B28" s="3" t="s">
        <v>39</v>
      </c>
      <c r="C28" s="3" t="s">
        <v>40</v>
      </c>
      <c r="D28" s="3" t="s">
        <v>41</v>
      </c>
      <c r="E28" s="3" t="s">
        <v>218</v>
      </c>
      <c r="F28" s="3" t="s">
        <v>219</v>
      </c>
      <c r="G28" s="3" t="s">
        <v>220</v>
      </c>
      <c r="H28" s="3" t="s">
        <v>221</v>
      </c>
      <c r="I28" s="3" t="s">
        <v>222</v>
      </c>
      <c r="J28" s="4" t="s">
        <v>47</v>
      </c>
      <c r="K28" s="5" t="s">
        <v>169</v>
      </c>
      <c r="L28" s="5" t="s">
        <v>67</v>
      </c>
      <c r="M28" s="5" t="s">
        <v>223</v>
      </c>
      <c r="N28" s="4" t="s">
        <v>47</v>
      </c>
      <c r="O28" s="6">
        <v>108612</v>
      </c>
      <c r="P28" s="6">
        <v>108672</v>
      </c>
      <c r="Q28" s="6">
        <v>400</v>
      </c>
      <c r="R28" s="7">
        <v>400</v>
      </c>
      <c r="S28" s="6">
        <f>IF(Q28-R28&lt;0,"0",Q28-R28)</f>
      </c>
      <c r="T28" s="6">
        <v>0</v>
      </c>
      <c r="U28" s="8">
        <v>46162.14583333333</v>
      </c>
      <c r="V28" s="8">
        <v>46162.23929398148</v>
      </c>
      <c r="W28" s="9">
        <f>V28-U28</f>
      </c>
      <c r="X28" s="10">
        <v>0.375</v>
      </c>
      <c r="Y28" s="9">
        <f>IF(W28-X28&lt;0,"00:00:00",W28-X28)</f>
      </c>
      <c r="Z28" s="11">
        <v>145</v>
      </c>
      <c r="AA28" s="11">
        <v>0</v>
      </c>
      <c r="AB28" s="12">
        <f>Y28*Z28*24</f>
      </c>
      <c r="AC28" s="12">
        <f>S28*AA28</f>
      </c>
      <c r="AD28" s="12">
        <f>T28*AA28</f>
      </c>
      <c r="AE28" s="11">
        <v>2760</v>
      </c>
      <c r="AF28" s="12">
        <v>13.7</v>
      </c>
      <c r="AG28" s="12">
        <f>SUM(AB28:AF28)</f>
      </c>
      <c r="AH28" s="3"/>
      <c r="AI28" s="3"/>
      <c r="AJ28" s="3"/>
      <c r="AK28" s="3"/>
      <c r="AL28" s="3"/>
      <c r="AO28" s="3" t="s">
        <v>224</v>
      </c>
      <c r="AP28" s="6">
        <f>Q28</f>
      </c>
    </row>
    <row r="29" ht="18" customHeight="1" spans="1:42" x14ac:dyDescent="0.25">
      <c r="A29" s="3" t="s">
        <v>38</v>
      </c>
      <c r="B29" s="3" t="s">
        <v>39</v>
      </c>
      <c r="C29" s="3" t="s">
        <v>40</v>
      </c>
      <c r="D29" s="3" t="s">
        <v>41</v>
      </c>
      <c r="E29" s="3" t="s">
        <v>195</v>
      </c>
      <c r="F29" s="3" t="s">
        <v>225</v>
      </c>
      <c r="G29" s="3" t="s">
        <v>226</v>
      </c>
      <c r="H29" s="3" t="s">
        <v>227</v>
      </c>
      <c r="I29" s="3" t="s">
        <v>228</v>
      </c>
      <c r="J29" s="3" t="s">
        <v>229</v>
      </c>
      <c r="K29" s="5" t="s">
        <v>115</v>
      </c>
      <c r="L29" s="5" t="s">
        <v>67</v>
      </c>
      <c r="M29" s="5" t="s">
        <v>201</v>
      </c>
      <c r="N29" s="3" t="s">
        <v>98</v>
      </c>
      <c r="O29" s="6">
        <v>94878</v>
      </c>
      <c r="P29" s="6">
        <v>95758</v>
      </c>
      <c r="Q29" s="6">
        <f>P29-O29</f>
      </c>
      <c r="R29" s="7">
        <v>900</v>
      </c>
      <c r="S29" s="6">
        <f>IF(Q29-R29&lt;0,"0",Q29-R29)</f>
      </c>
      <c r="T29" s="6">
        <v>0</v>
      </c>
      <c r="U29" s="8">
        <v>46162.04166666667</v>
      </c>
      <c r="V29" s="8">
        <v>46163.08554398148</v>
      </c>
      <c r="W29" s="9">
        <f>V29-U29</f>
      </c>
      <c r="X29" s="10">
        <v>0.9583333333333334</v>
      </c>
      <c r="Y29" s="9">
        <f>IF(W29-X29&lt;0,"00:00:00",W29-X29)</f>
      </c>
      <c r="Z29" s="11">
        <v>145</v>
      </c>
      <c r="AA29" s="11">
        <v>6.9</v>
      </c>
      <c r="AB29" s="12">
        <f>Y29*Z29*24</f>
      </c>
      <c r="AC29" s="12">
        <f>S29*AA29</f>
      </c>
      <c r="AD29" s="12">
        <f>T29*AA29</f>
      </c>
      <c r="AE29" s="11">
        <v>6210</v>
      </c>
      <c r="AF29" s="12">
        <v>85.3</v>
      </c>
      <c r="AG29" s="12">
        <f>SUM(AB29:AF29)</f>
      </c>
      <c r="AH29" s="3"/>
      <c r="AI29" s="3"/>
      <c r="AJ29" s="3"/>
      <c r="AK29" s="3"/>
      <c r="AL29" s="3"/>
      <c r="AO29" s="3" t="s">
        <v>230</v>
      </c>
      <c r="AP29" s="6">
        <f>Q29</f>
      </c>
    </row>
    <row r="30" ht="18" customHeight="1" spans="1:42" x14ac:dyDescent="0.25">
      <c r="A30" s="3" t="s">
        <v>38</v>
      </c>
      <c r="B30" s="3" t="s">
        <v>39</v>
      </c>
      <c r="C30" s="3" t="s">
        <v>40</v>
      </c>
      <c r="D30" s="3" t="s">
        <v>41</v>
      </c>
      <c r="E30" s="3" t="s">
        <v>123</v>
      </c>
      <c r="F30" s="3" t="s">
        <v>231</v>
      </c>
      <c r="G30" s="3" t="s">
        <v>232</v>
      </c>
      <c r="H30" s="3" t="s">
        <v>233</v>
      </c>
      <c r="I30" s="3" t="s">
        <v>234</v>
      </c>
      <c r="J30" s="3" t="s">
        <v>235</v>
      </c>
      <c r="K30" s="5" t="s">
        <v>143</v>
      </c>
      <c r="L30" s="5" t="s">
        <v>67</v>
      </c>
      <c r="M30" s="5" t="s">
        <v>236</v>
      </c>
      <c r="N30" s="3" t="s">
        <v>67</v>
      </c>
      <c r="O30" s="6">
        <v>64306</v>
      </c>
      <c r="P30" s="6">
        <v>64350</v>
      </c>
      <c r="Q30" s="6">
        <f>P30-O30</f>
      </c>
      <c r="R30" s="7">
        <v>100</v>
      </c>
      <c r="S30" s="6">
        <f>IF(Q30-R30&lt;0,"0",Q30-R30)</f>
      </c>
      <c r="T30" s="6">
        <v>0</v>
      </c>
      <c r="U30" s="8">
        <v>46162.20833333333</v>
      </c>
      <c r="V30" s="8">
        <v>46162.28666666667</v>
      </c>
      <c r="W30" s="9">
        <f>V30-U30</f>
      </c>
      <c r="X30" s="10">
        <v>0.125</v>
      </c>
      <c r="Y30" s="9">
        <f>IF(W30-X30&lt;0,"00:00:00",W30-X30)</f>
      </c>
      <c r="Z30" s="11">
        <v>145</v>
      </c>
      <c r="AA30" s="11">
        <v>6.9</v>
      </c>
      <c r="AB30" s="12">
        <f>Y30*Z30*24</f>
      </c>
      <c r="AC30" s="12">
        <f>S30*AA30</f>
      </c>
      <c r="AD30" s="12">
        <f>T30*AA30</f>
      </c>
      <c r="AE30" s="11">
        <v>690</v>
      </c>
      <c r="AF30" s="12">
        <v>5.9</v>
      </c>
      <c r="AG30" s="12">
        <f>SUM(AB30:AF30)</f>
      </c>
      <c r="AH30" s="3"/>
      <c r="AI30" s="3"/>
      <c r="AJ30" s="3"/>
      <c r="AK30" s="3"/>
      <c r="AL30" s="3"/>
      <c r="AO30" s="3" t="s">
        <v>59</v>
      </c>
      <c r="AP30" s="6">
        <f>Q30</f>
      </c>
    </row>
    <row r="31" ht="18" customHeight="1" spans="1:42" x14ac:dyDescent="0.25">
      <c r="A31" s="3" t="s">
        <v>38</v>
      </c>
      <c r="B31" s="3" t="s">
        <v>39</v>
      </c>
      <c r="C31" s="3" t="s">
        <v>40</v>
      </c>
      <c r="D31" s="3" t="s">
        <v>41</v>
      </c>
      <c r="E31" s="3" t="s">
        <v>101</v>
      </c>
      <c r="F31" s="3" t="s">
        <v>237</v>
      </c>
      <c r="G31" s="3" t="s">
        <v>238</v>
      </c>
      <c r="H31" s="3" t="s">
        <v>239</v>
      </c>
      <c r="I31" s="3" t="s">
        <v>240</v>
      </c>
      <c r="J31" s="3" t="s">
        <v>241</v>
      </c>
      <c r="K31" s="5" t="s">
        <v>107</v>
      </c>
      <c r="L31" s="5" t="s">
        <v>108</v>
      </c>
      <c r="M31" s="5" t="s">
        <v>109</v>
      </c>
      <c r="N31" s="3" t="s">
        <v>108</v>
      </c>
      <c r="O31" s="6">
        <v>250654</v>
      </c>
      <c r="P31" s="6">
        <v>250714</v>
      </c>
      <c r="Q31" s="6">
        <f>P31-O31</f>
      </c>
      <c r="R31" s="7">
        <v>100</v>
      </c>
      <c r="S31" s="6">
        <f>IF(Q31-R31&lt;0,"0",Q31-R31)</f>
      </c>
      <c r="T31" s="6">
        <v>0</v>
      </c>
      <c r="U31" s="8">
        <v>46162.25</v>
      </c>
      <c r="V31" s="8">
        <v>46162.449849537035</v>
      </c>
      <c r="W31" s="9">
        <f>V31-U31</f>
      </c>
      <c r="X31" s="10">
        <v>0.125</v>
      </c>
      <c r="Y31" s="9">
        <f>IF(W31-X31&lt;0,"00:00:00",W31-X31)</f>
      </c>
      <c r="Z31" s="11">
        <v>145</v>
      </c>
      <c r="AA31" s="11">
        <v>0</v>
      </c>
      <c r="AB31" s="12">
        <f>Y31*Z31*24</f>
      </c>
      <c r="AC31" s="12">
        <f>S31*AA31</f>
      </c>
      <c r="AD31" s="12">
        <f>T31*AA31</f>
      </c>
      <c r="AE31" s="11">
        <v>735</v>
      </c>
      <c r="AF31" s="12">
        <v>0</v>
      </c>
      <c r="AG31" s="12">
        <f>SUM(AB31:AF31)</f>
      </c>
      <c r="AH31" s="3"/>
      <c r="AI31" s="3"/>
      <c r="AJ31" s="3"/>
      <c r="AK31" s="3"/>
      <c r="AL31" s="3"/>
      <c r="AO31" s="3" t="s">
        <v>242</v>
      </c>
      <c r="AP31" s="6">
        <f>Q31</f>
      </c>
    </row>
    <row r="32" ht="18" customHeight="1" spans="1:42" x14ac:dyDescent="0.25">
      <c r="A32" s="3" t="s">
        <v>38</v>
      </c>
      <c r="B32" s="3" t="s">
        <v>39</v>
      </c>
      <c r="C32" s="3" t="s">
        <v>40</v>
      </c>
      <c r="D32" s="3" t="s">
        <v>41</v>
      </c>
      <c r="E32" s="3" t="s">
        <v>243</v>
      </c>
      <c r="F32" s="3" t="s">
        <v>244</v>
      </c>
      <c r="G32" s="3" t="s">
        <v>245</v>
      </c>
      <c r="H32" s="3" t="s">
        <v>246</v>
      </c>
      <c r="I32" s="3" t="s">
        <v>247</v>
      </c>
      <c r="J32" s="3" t="s">
        <v>248</v>
      </c>
      <c r="K32" s="5" t="s">
        <v>249</v>
      </c>
      <c r="L32" s="5" t="s">
        <v>250</v>
      </c>
      <c r="M32" s="5" t="s">
        <v>251</v>
      </c>
      <c r="N32" s="3" t="s">
        <v>250</v>
      </c>
      <c r="O32" s="6">
        <v>85334</v>
      </c>
      <c r="P32" s="6">
        <v>85363</v>
      </c>
      <c r="Q32" s="6">
        <f>P32-O32</f>
      </c>
      <c r="R32" s="7">
        <v>100</v>
      </c>
      <c r="S32" s="6">
        <f>IF(Q32-R32&lt;0,"0",Q32-R32)</f>
      </c>
      <c r="T32" s="6">
        <v>0</v>
      </c>
      <c r="U32" s="8">
        <v>46162.33333333333</v>
      </c>
      <c r="V32" s="8">
        <v>46162.386145833334</v>
      </c>
      <c r="W32" s="9">
        <f>V32-U32</f>
      </c>
      <c r="X32" s="10">
        <v>0.125</v>
      </c>
      <c r="Y32" s="9">
        <f>IF(W32-X32&lt;0,"00:00:00",W32-X32)</f>
      </c>
      <c r="Z32" s="11">
        <v>145</v>
      </c>
      <c r="AA32" s="11">
        <v>6.9</v>
      </c>
      <c r="AB32" s="12">
        <f>Y32*Z32*24</f>
      </c>
      <c r="AC32" s="12">
        <f>S32*AA32</f>
      </c>
      <c r="AD32" s="12">
        <f>T32*AA32</f>
      </c>
      <c r="AE32" s="11">
        <v>690</v>
      </c>
      <c r="AF32" s="12">
        <v>0</v>
      </c>
      <c r="AG32" s="12">
        <f>SUM(AB32:AF32)</f>
      </c>
      <c r="AH32" s="3"/>
      <c r="AI32" s="3"/>
      <c r="AJ32" s="3"/>
      <c r="AK32" s="3"/>
      <c r="AL32" s="3"/>
      <c r="AO32" s="3" t="s">
        <v>90</v>
      </c>
      <c r="AP32" s="6">
        <f>Q32</f>
      </c>
    </row>
    <row r="33" ht="18" customHeight="1" spans="1:42" x14ac:dyDescent="0.25">
      <c r="A33" s="3" t="s">
        <v>38</v>
      </c>
      <c r="B33" s="3" t="s">
        <v>39</v>
      </c>
      <c r="C33" s="3" t="s">
        <v>40</v>
      </c>
      <c r="D33" s="3" t="s">
        <v>41</v>
      </c>
      <c r="E33" s="3" t="s">
        <v>60</v>
      </c>
      <c r="F33" s="3" t="s">
        <v>252</v>
      </c>
      <c r="G33" s="3" t="s">
        <v>253</v>
      </c>
      <c r="H33" s="3" t="s">
        <v>254</v>
      </c>
      <c r="I33" s="3" t="s">
        <v>255</v>
      </c>
      <c r="J33" s="3" t="s">
        <v>256</v>
      </c>
      <c r="K33" s="5" t="s">
        <v>66</v>
      </c>
      <c r="L33" s="5" t="s">
        <v>67</v>
      </c>
      <c r="M33" s="5" t="s">
        <v>68</v>
      </c>
      <c r="N33" s="4" t="s">
        <v>47</v>
      </c>
      <c r="O33" s="6">
        <v>498198</v>
      </c>
      <c r="P33" s="6">
        <v>498399</v>
      </c>
      <c r="Q33" s="6">
        <v>200</v>
      </c>
      <c r="R33" s="7">
        <v>200</v>
      </c>
      <c r="S33" s="6">
        <f>IF(Q33-R33&lt;0,"0",Q33-R33)</f>
      </c>
      <c r="T33" s="6">
        <v>0</v>
      </c>
      <c r="U33" s="8">
        <v>46162.336805555555</v>
      </c>
      <c r="V33" s="8">
        <v>46162.555439814816</v>
      </c>
      <c r="W33" s="9">
        <f>V33-U33</f>
      </c>
      <c r="X33" s="10">
        <v>0.25</v>
      </c>
      <c r="Y33" s="9">
        <f>IF(W33-X33&lt;0,"00:00:00",W33-X33)</f>
      </c>
      <c r="Z33" s="11">
        <v>145</v>
      </c>
      <c r="AA33" s="11">
        <v>0</v>
      </c>
      <c r="AB33" s="12">
        <f>Y33*Z33*24</f>
      </c>
      <c r="AC33" s="12">
        <f>S33*AA33</f>
      </c>
      <c r="AD33" s="12">
        <f>T33*AA33</f>
      </c>
      <c r="AE33" s="11">
        <v>1380</v>
      </c>
      <c r="AF33" s="12">
        <v>35</v>
      </c>
      <c r="AG33" s="12">
        <f>SUM(AB33:AF33)</f>
      </c>
      <c r="AH33" s="3"/>
      <c r="AI33" s="3"/>
      <c r="AJ33" s="3"/>
      <c r="AK33" s="3"/>
      <c r="AL33" s="3"/>
      <c r="AO33" s="3" t="s">
        <v>80</v>
      </c>
      <c r="AP33" s="6">
        <f>Q33</f>
      </c>
    </row>
    <row r="34" ht="18" customHeight="1" spans="1:42" x14ac:dyDescent="0.25">
      <c r="A34" s="3" t="s">
        <v>38</v>
      </c>
      <c r="B34" s="3" t="s">
        <v>39</v>
      </c>
      <c r="C34" s="3" t="s">
        <v>40</v>
      </c>
      <c r="D34" s="3" t="s">
        <v>41</v>
      </c>
      <c r="E34" s="3" t="s">
        <v>218</v>
      </c>
      <c r="F34" s="3" t="s">
        <v>257</v>
      </c>
      <c r="G34" s="3" t="s">
        <v>258</v>
      </c>
      <c r="H34" s="3" t="s">
        <v>259</v>
      </c>
      <c r="I34" s="3" t="s">
        <v>260</v>
      </c>
      <c r="J34" s="3" t="s">
        <v>261</v>
      </c>
      <c r="K34" s="5" t="s">
        <v>115</v>
      </c>
      <c r="L34" s="5" t="s">
        <v>67</v>
      </c>
      <c r="M34" s="5" t="s">
        <v>223</v>
      </c>
      <c r="N34" s="4" t="s">
        <v>47</v>
      </c>
      <c r="O34" s="6">
        <v>30412</v>
      </c>
      <c r="P34" s="6">
        <v>30458</v>
      </c>
      <c r="Q34" s="6">
        <v>400</v>
      </c>
      <c r="R34" s="7">
        <v>400</v>
      </c>
      <c r="S34" s="6">
        <f>IF(Q34-R34&lt;0,"0",Q34-R34)</f>
      </c>
      <c r="T34" s="6">
        <v>0</v>
      </c>
      <c r="U34" s="8">
        <v>46162.381944444445</v>
      </c>
      <c r="V34" s="8">
        <v>46162.489745370374</v>
      </c>
      <c r="W34" s="9">
        <f>V34-U34</f>
      </c>
      <c r="X34" s="10">
        <v>0.375</v>
      </c>
      <c r="Y34" s="9">
        <f>IF(W34-X34&lt;0,"00:00:00",W34-X34)</f>
      </c>
      <c r="Z34" s="11">
        <v>145</v>
      </c>
      <c r="AA34" s="11">
        <v>0</v>
      </c>
      <c r="AB34" s="12">
        <f>Y34*Z34*24</f>
      </c>
      <c r="AC34" s="12">
        <f>S34*AA34</f>
      </c>
      <c r="AD34" s="12">
        <f>T34*AA34</f>
      </c>
      <c r="AE34" s="11">
        <v>2760</v>
      </c>
      <c r="AF34" s="12">
        <v>0</v>
      </c>
      <c r="AG34" s="12">
        <f>SUM(AB34:AF34)</f>
      </c>
      <c r="AH34" s="3"/>
      <c r="AI34" s="3"/>
      <c r="AJ34" s="3"/>
      <c r="AK34" s="3"/>
      <c r="AL34" s="3"/>
      <c r="AO34" s="3" t="s">
        <v>224</v>
      </c>
      <c r="AP34" s="6">
        <f>Q34</f>
      </c>
    </row>
    <row r="35" ht="18" customHeight="1" spans="1:42" x14ac:dyDescent="0.25">
      <c r="A35" s="3" t="s">
        <v>38</v>
      </c>
      <c r="B35" s="3" t="s">
        <v>39</v>
      </c>
      <c r="C35" s="3" t="s">
        <v>40</v>
      </c>
      <c r="D35" s="3" t="s">
        <v>41</v>
      </c>
      <c r="E35" s="3" t="s">
        <v>195</v>
      </c>
      <c r="F35" s="3" t="s">
        <v>262</v>
      </c>
      <c r="G35" s="3" t="s">
        <v>263</v>
      </c>
      <c r="H35" s="3" t="s">
        <v>264</v>
      </c>
      <c r="I35" s="3" t="s">
        <v>265</v>
      </c>
      <c r="J35" s="3" t="s">
        <v>266</v>
      </c>
      <c r="K35" s="5" t="s">
        <v>169</v>
      </c>
      <c r="L35" s="5" t="s">
        <v>67</v>
      </c>
      <c r="M35" s="5" t="s">
        <v>267</v>
      </c>
      <c r="N35" s="3" t="s">
        <v>98</v>
      </c>
      <c r="O35" s="6">
        <v>3454</v>
      </c>
      <c r="P35" s="6">
        <v>4321</v>
      </c>
      <c r="Q35" s="6">
        <f>P35-O35</f>
      </c>
      <c r="R35" s="7">
        <v>758</v>
      </c>
      <c r="S35" s="6">
        <f>IF(Q35-R35&lt;0,"0",Q35-R35)</f>
      </c>
      <c r="T35" s="6">
        <v>0</v>
      </c>
      <c r="U35" s="8">
        <v>46163.16666666667</v>
      </c>
      <c r="V35" s="8">
        <v>46164.51821759259</v>
      </c>
      <c r="W35" s="9">
        <f>V35-U35</f>
      </c>
      <c r="X35" s="10">
        <v>1.4166666666666667</v>
      </c>
      <c r="Y35" s="9">
        <f>IF(W35-X35&lt;0,"00:00:00",W35-X35)</f>
      </c>
      <c r="Z35" s="11">
        <v>145</v>
      </c>
      <c r="AA35" s="11">
        <v>0</v>
      </c>
      <c r="AB35" s="12">
        <f>Y35*Z35*24</f>
      </c>
      <c r="AC35" s="12">
        <f>S35*AA35</f>
      </c>
      <c r="AD35" s="12">
        <f>T35*AA35</f>
      </c>
      <c r="AE35" s="11">
        <v>7412.45</v>
      </c>
      <c r="AF35" s="12">
        <v>85.3</v>
      </c>
      <c r="AG35" s="12">
        <f>SUM(AB35:AF35)</f>
      </c>
      <c r="AH35" s="3"/>
      <c r="AI35" s="3"/>
      <c r="AJ35" s="3"/>
      <c r="AK35" s="3"/>
      <c r="AL35" s="3"/>
      <c r="AO35" s="3" t="s">
        <v>202</v>
      </c>
      <c r="AP35" s="6">
        <f>Q35</f>
      </c>
    </row>
    <row r="36" ht="18" customHeight="1" spans="1:42" x14ac:dyDescent="0.25">
      <c r="A36" s="3" t="s">
        <v>38</v>
      </c>
      <c r="B36" s="3" t="s">
        <v>39</v>
      </c>
      <c r="C36" s="3" t="s">
        <v>40</v>
      </c>
      <c r="D36" s="3" t="s">
        <v>41</v>
      </c>
      <c r="E36" s="3" t="s">
        <v>268</v>
      </c>
      <c r="F36" s="3" t="s">
        <v>269</v>
      </c>
      <c r="G36" s="3" t="s">
        <v>270</v>
      </c>
      <c r="H36" s="3" t="s">
        <v>271</v>
      </c>
      <c r="I36" s="3" t="s">
        <v>272</v>
      </c>
      <c r="J36" s="3" t="s">
        <v>273</v>
      </c>
      <c r="K36" s="5" t="s">
        <v>274</v>
      </c>
      <c r="L36" s="5" t="s">
        <v>67</v>
      </c>
      <c r="M36" s="5" t="s">
        <v>79</v>
      </c>
      <c r="N36" s="3" t="s">
        <v>67</v>
      </c>
      <c r="O36" s="6">
        <v>80237</v>
      </c>
      <c r="P36" s="6">
        <v>80240</v>
      </c>
      <c r="Q36" s="6">
        <f>P36-O36</f>
      </c>
      <c r="R36" s="7">
        <v>100</v>
      </c>
      <c r="S36" s="6">
        <f>IF(Q36-R36&lt;0,"0",Q36-R36)</f>
      </c>
      <c r="T36" s="6">
        <v>0</v>
      </c>
      <c r="U36" s="8">
        <v>46162.65486111111</v>
      </c>
      <c r="V36" s="8">
        <v>46162.66241898148</v>
      </c>
      <c r="W36" s="9">
        <f>V36-U36</f>
      </c>
      <c r="X36" s="10">
        <v>0.125</v>
      </c>
      <c r="Y36" s="9">
        <f>IF(W36-X36&lt;0,"00:00:00",W36-X36)</f>
      </c>
      <c r="Z36" s="11">
        <v>145</v>
      </c>
      <c r="AA36" s="11">
        <v>6.9</v>
      </c>
      <c r="AB36" s="12">
        <f>Y36*Z36*24</f>
      </c>
      <c r="AC36" s="12">
        <f>S36*AA36</f>
      </c>
      <c r="AD36" s="12">
        <f>T36*AA36</f>
      </c>
      <c r="AE36" s="11">
        <v>690</v>
      </c>
      <c r="AF36" s="12">
        <v>0</v>
      </c>
      <c r="AG36" s="12">
        <f>SUM(AB36:AF36)</f>
      </c>
      <c r="AH36" s="3"/>
      <c r="AI36" s="3"/>
      <c r="AJ36" s="3"/>
      <c r="AK36" s="3"/>
      <c r="AL36" s="3"/>
      <c r="AO36" s="3" t="s">
        <v>59</v>
      </c>
      <c r="AP36" s="6">
        <f>Q36</f>
      </c>
    </row>
    <row r="37" ht="18" customHeight="1" spans="1:42" x14ac:dyDescent="0.25">
      <c r="A37" s="3" t="s">
        <v>38</v>
      </c>
      <c r="B37" s="3" t="s">
        <v>39</v>
      </c>
      <c r="C37" s="3" t="s">
        <v>40</v>
      </c>
      <c r="D37" s="3" t="s">
        <v>41</v>
      </c>
      <c r="E37" s="3" t="s">
        <v>275</v>
      </c>
      <c r="F37" s="3" t="s">
        <v>276</v>
      </c>
      <c r="G37" s="3" t="s">
        <v>277</v>
      </c>
      <c r="H37" s="3" t="s">
        <v>278</v>
      </c>
      <c r="I37" s="3" t="s">
        <v>279</v>
      </c>
      <c r="J37" s="3" t="s">
        <v>280</v>
      </c>
      <c r="K37" s="5" t="s">
        <v>281</v>
      </c>
      <c r="L37" s="5" t="s">
        <v>98</v>
      </c>
      <c r="M37" s="5" t="s">
        <v>282</v>
      </c>
      <c r="N37" s="3" t="s">
        <v>98</v>
      </c>
      <c r="O37" s="6">
        <v>62696</v>
      </c>
      <c r="P37" s="6">
        <v>62721</v>
      </c>
      <c r="Q37" s="6">
        <f>P37-O37</f>
      </c>
      <c r="R37" s="7">
        <v>100</v>
      </c>
      <c r="S37" s="6">
        <f>IF(Q37-R37&lt;0,"0",Q37-R37)</f>
      </c>
      <c r="T37" s="6">
        <v>0</v>
      </c>
      <c r="U37" s="8">
        <v>46163.375</v>
      </c>
      <c r="V37" s="8">
        <v>46163.45612268518</v>
      </c>
      <c r="W37" s="9">
        <f>V37-U37</f>
      </c>
      <c r="X37" s="10">
        <v>0.125</v>
      </c>
      <c r="Y37" s="9">
        <f>IF(W37-X37&lt;0,"00:00:00",W37-X37)</f>
      </c>
      <c r="Z37" s="11">
        <v>145</v>
      </c>
      <c r="AA37" s="11">
        <v>6.9</v>
      </c>
      <c r="AB37" s="12">
        <f>Y37*Z37*24</f>
      </c>
      <c r="AC37" s="12">
        <f>S37*AA37</f>
      </c>
      <c r="AD37" s="12">
        <f>T37*AA37</f>
      </c>
      <c r="AE37" s="11">
        <v>690</v>
      </c>
      <c r="AF37" s="12">
        <v>0</v>
      </c>
      <c r="AG37" s="12">
        <f>SUM(AB37:AF37)</f>
      </c>
      <c r="AH37" s="3"/>
      <c r="AI37" s="3"/>
      <c r="AJ37" s="3"/>
      <c r="AK37" s="3"/>
      <c r="AL37" s="3"/>
      <c r="AO37" s="3" t="s">
        <v>59</v>
      </c>
      <c r="AP37" s="6">
        <f>Q37</f>
      </c>
    </row>
    <row r="38" ht="18" customHeight="1" spans="1:42" x14ac:dyDescent="0.25">
      <c r="A38" s="3" t="s">
        <v>38</v>
      </c>
      <c r="B38" s="3" t="s">
        <v>39</v>
      </c>
      <c r="C38" s="3" t="s">
        <v>40</v>
      </c>
      <c r="D38" s="3" t="s">
        <v>41</v>
      </c>
      <c r="E38" s="3" t="s">
        <v>283</v>
      </c>
      <c r="F38" s="3" t="s">
        <v>284</v>
      </c>
      <c r="G38" s="3" t="s">
        <v>285</v>
      </c>
      <c r="H38" s="3" t="s">
        <v>286</v>
      </c>
      <c r="I38" s="3" t="s">
        <v>260</v>
      </c>
      <c r="J38" s="3" t="s">
        <v>287</v>
      </c>
      <c r="K38" s="5" t="s">
        <v>288</v>
      </c>
      <c r="L38" s="5" t="s">
        <v>67</v>
      </c>
      <c r="M38" s="5" t="s">
        <v>289</v>
      </c>
      <c r="N38" s="3" t="s">
        <v>67</v>
      </c>
      <c r="O38" s="6">
        <v>30584</v>
      </c>
      <c r="P38" s="6">
        <v>30660</v>
      </c>
      <c r="Q38" s="6">
        <f>P38-O38</f>
      </c>
      <c r="R38" s="7">
        <v>100</v>
      </c>
      <c r="S38" s="6">
        <f>IF(Q38-R38&lt;0,"0",Q38-R38)</f>
      </c>
      <c r="T38" s="6">
        <v>0</v>
      </c>
      <c r="U38" s="8">
        <v>46162.77777777778</v>
      </c>
      <c r="V38" s="8">
        <v>46162.900300925925</v>
      </c>
      <c r="W38" s="9">
        <f>V38-U38</f>
      </c>
      <c r="X38" s="10">
        <v>0.125</v>
      </c>
      <c r="Y38" s="9">
        <f>IF(W38-X38&lt;0,"00:00:00",W38-X38)</f>
      </c>
      <c r="Z38" s="11">
        <v>145</v>
      </c>
      <c r="AA38" s="11">
        <v>6.9</v>
      </c>
      <c r="AB38" s="12">
        <f>Y38*Z38*24</f>
      </c>
      <c r="AC38" s="12">
        <f>S38*AA38</f>
      </c>
      <c r="AD38" s="12">
        <f>T38*AA38</f>
      </c>
      <c r="AE38" s="11">
        <v>690</v>
      </c>
      <c r="AF38" s="12">
        <v>13.7</v>
      </c>
      <c r="AG38" s="12">
        <f>SUM(AB38:AF38)</f>
      </c>
      <c r="AH38" s="3"/>
      <c r="AI38" s="3"/>
      <c r="AJ38" s="3"/>
      <c r="AK38" s="3"/>
      <c r="AL38" s="3"/>
      <c r="AO38" s="3" t="s">
        <v>59</v>
      </c>
      <c r="AP38" s="6">
        <f>Q38</f>
      </c>
    </row>
    <row r="39" ht="18" customHeight="1" spans="1:42" x14ac:dyDescent="0.25">
      <c r="A39" s="3" t="s">
        <v>38</v>
      </c>
      <c r="B39" s="3" t="s">
        <v>39</v>
      </c>
      <c r="C39" s="3" t="s">
        <v>40</v>
      </c>
      <c r="D39" s="3" t="s">
        <v>41</v>
      </c>
      <c r="E39" s="3" t="s">
        <v>283</v>
      </c>
      <c r="F39" s="3" t="s">
        <v>290</v>
      </c>
      <c r="G39" s="3" t="s">
        <v>285</v>
      </c>
      <c r="H39" s="3" t="s">
        <v>291</v>
      </c>
      <c r="I39" s="3" t="s">
        <v>272</v>
      </c>
      <c r="J39" s="3" t="s">
        <v>287</v>
      </c>
      <c r="K39" s="5" t="s">
        <v>288</v>
      </c>
      <c r="L39" s="5" t="s">
        <v>67</v>
      </c>
      <c r="M39" s="5" t="s">
        <v>289</v>
      </c>
      <c r="N39" s="3" t="s">
        <v>67</v>
      </c>
      <c r="O39" s="6">
        <v>80314</v>
      </c>
      <c r="P39" s="6">
        <v>80389</v>
      </c>
      <c r="Q39" s="6">
        <f>P39-O39</f>
      </c>
      <c r="R39" s="7">
        <v>100</v>
      </c>
      <c r="S39" s="6">
        <f>IF(Q39-R39&lt;0,"0",Q39-R39)</f>
      </c>
      <c r="T39" s="6">
        <v>0</v>
      </c>
      <c r="U39" s="8">
        <v>46162.77777777778</v>
      </c>
      <c r="V39" s="8">
        <v>46162.896203703705</v>
      </c>
      <c r="W39" s="9">
        <f>V39-U39</f>
      </c>
      <c r="X39" s="10">
        <v>0.125</v>
      </c>
      <c r="Y39" s="9">
        <f>IF(W39-X39&lt;0,"00:00:00",W39-X39)</f>
      </c>
      <c r="Z39" s="11">
        <v>145</v>
      </c>
      <c r="AA39" s="11">
        <v>6.9</v>
      </c>
      <c r="AB39" s="12">
        <f>Y39*Z39*24</f>
      </c>
      <c r="AC39" s="12">
        <f>S39*AA39</f>
      </c>
      <c r="AD39" s="12">
        <f>T39*AA39</f>
      </c>
      <c r="AE39" s="11">
        <v>690</v>
      </c>
      <c r="AF39" s="12">
        <v>13.7</v>
      </c>
      <c r="AG39" s="12">
        <f>SUM(AB39:AF39)</f>
      </c>
      <c r="AH39" s="3"/>
      <c r="AI39" s="3"/>
      <c r="AJ39" s="3"/>
      <c r="AK39" s="3"/>
      <c r="AL39" s="3"/>
      <c r="AO39" s="3" t="s">
        <v>59</v>
      </c>
      <c r="AP39" s="6">
        <f>Q39</f>
      </c>
    </row>
    <row r="40" ht="18" customHeight="1" spans="1:42" x14ac:dyDescent="0.25">
      <c r="A40" s="3" t="s">
        <v>38</v>
      </c>
      <c r="B40" s="3" t="s">
        <v>39</v>
      </c>
      <c r="C40" s="3" t="s">
        <v>40</v>
      </c>
      <c r="D40" s="3" t="s">
        <v>41</v>
      </c>
      <c r="E40" s="3" t="s">
        <v>42</v>
      </c>
      <c r="F40" s="3" t="s">
        <v>292</v>
      </c>
      <c r="G40" s="3" t="s">
        <v>293</v>
      </c>
      <c r="H40" s="3" t="s">
        <v>294</v>
      </c>
      <c r="I40" s="3" t="s">
        <v>295</v>
      </c>
      <c r="J40" s="3" t="s">
        <v>296</v>
      </c>
      <c r="K40" s="5" t="s">
        <v>297</v>
      </c>
      <c r="L40" s="5" t="s">
        <v>49</v>
      </c>
      <c r="M40" s="5" t="s">
        <v>298</v>
      </c>
      <c r="N40" s="3" t="s">
        <v>49</v>
      </c>
      <c r="O40" s="6">
        <v>311961</v>
      </c>
      <c r="P40" s="6">
        <v>311994</v>
      </c>
      <c r="Q40" s="6">
        <f>P40-O40</f>
      </c>
      <c r="R40" s="7">
        <v>100</v>
      </c>
      <c r="S40" s="6">
        <f>IF(Q40-R40&lt;0,"0",Q40-R40)</f>
      </c>
      <c r="T40" s="6">
        <v>0</v>
      </c>
      <c r="U40" s="8">
        <v>46163.3125</v>
      </c>
      <c r="V40" s="8">
        <v>46163.41290509259</v>
      </c>
      <c r="W40" s="9">
        <f>V40-U40</f>
      </c>
      <c r="X40" s="10">
        <v>0.125</v>
      </c>
      <c r="Y40" s="9">
        <f>IF(W40-X40&lt;0,"00:00:00",W40-X40)</f>
      </c>
      <c r="Z40" s="11">
        <v>145</v>
      </c>
      <c r="AA40" s="11">
        <v>7.35</v>
      </c>
      <c r="AB40" s="12">
        <f>Y40*Z40*24</f>
      </c>
      <c r="AC40" s="12">
        <f>S40*AA40</f>
      </c>
      <c r="AD40" s="12">
        <f>T40*AA40</f>
      </c>
      <c r="AE40" s="11">
        <v>735</v>
      </c>
      <c r="AF40" s="12">
        <v>0</v>
      </c>
      <c r="AG40" s="12">
        <f>SUM(AB40:AF40)</f>
      </c>
      <c r="AH40" s="3"/>
      <c r="AI40" s="3"/>
      <c r="AJ40" s="3"/>
      <c r="AK40" s="3"/>
      <c r="AL40" s="3"/>
      <c r="AO40" s="3" t="s">
        <v>50</v>
      </c>
      <c r="AP40" s="6">
        <f>Q40</f>
      </c>
    </row>
    <row r="41" ht="18" customHeight="1" spans="1:42" x14ac:dyDescent="0.25">
      <c r="A41" s="3" t="s">
        <v>38</v>
      </c>
      <c r="B41" s="3" t="s">
        <v>39</v>
      </c>
      <c r="C41" s="3" t="s">
        <v>40</v>
      </c>
      <c r="D41" s="3" t="s">
        <v>117</v>
      </c>
      <c r="E41" s="3" t="s">
        <v>60</v>
      </c>
      <c r="F41" s="3" t="s">
        <v>299</v>
      </c>
      <c r="G41" s="3" t="s">
        <v>300</v>
      </c>
      <c r="H41" s="3" t="s">
        <v>301</v>
      </c>
      <c r="I41" s="3" t="s">
        <v>272</v>
      </c>
      <c r="J41" s="3" t="s">
        <v>161</v>
      </c>
      <c r="K41" s="5" t="s">
        <v>66</v>
      </c>
      <c r="L41" s="5" t="s">
        <v>67</v>
      </c>
      <c r="M41" s="5" t="s">
        <v>68</v>
      </c>
      <c r="N41" s="4" t="s">
        <v>47</v>
      </c>
      <c r="O41" s="6">
        <v>0</v>
      </c>
      <c r="P41" s="6">
        <v>0</v>
      </c>
      <c r="Q41" s="6">
        <v>0</v>
      </c>
      <c r="R41" s="7">
        <v>200</v>
      </c>
      <c r="S41" s="6">
        <f>IF(Q41-R41&lt;0,"0",Q41-R41)</f>
      </c>
      <c r="T41" s="6">
        <v>0</v>
      </c>
      <c r="U41" s="8">
        <v>46163.08333333333</v>
      </c>
      <c r="V41" s="8">
        <v>46163.08333333333</v>
      </c>
      <c r="W41" s="9">
        <f>V41-U41</f>
      </c>
      <c r="X41" s="10">
        <v>0.25</v>
      </c>
      <c r="Y41" s="9">
        <f>IF(W41-X41&lt;0,"00:00:00",W41-X41)</f>
      </c>
      <c r="Z41" s="11">
        <v>145</v>
      </c>
      <c r="AA41" s="11">
        <v>0</v>
      </c>
      <c r="AB41" s="12">
        <f>Y41*Z41*24</f>
      </c>
      <c r="AC41" s="12">
        <f>S41*AA41</f>
      </c>
      <c r="AD41" s="12">
        <f>T41*AA41</f>
      </c>
      <c r="AE41" s="11">
        <v>690</v>
      </c>
      <c r="AF41" s="12">
        <v>0</v>
      </c>
      <c r="AG41" s="12">
        <f>SUM(AB41:AF41)</f>
      </c>
      <c r="AH41" s="3"/>
      <c r="AI41" s="3"/>
      <c r="AJ41" s="3"/>
      <c r="AK41" s="3"/>
      <c r="AL41" s="3"/>
      <c r="AO41" s="3" t="s">
        <v>80</v>
      </c>
      <c r="AP41" s="6">
        <f>Q41</f>
      </c>
    </row>
    <row r="42" ht="18" customHeight="1" spans="1:42" x14ac:dyDescent="0.25">
      <c r="A42" s="3" t="s">
        <v>38</v>
      </c>
      <c r="B42" s="3" t="s">
        <v>39</v>
      </c>
      <c r="C42" s="3" t="s">
        <v>40</v>
      </c>
      <c r="D42" s="3" t="s">
        <v>41</v>
      </c>
      <c r="E42" s="3" t="s">
        <v>123</v>
      </c>
      <c r="F42" s="3" t="s">
        <v>302</v>
      </c>
      <c r="G42" s="3" t="s">
        <v>303</v>
      </c>
      <c r="H42" s="3" t="s">
        <v>304</v>
      </c>
      <c r="I42" s="3" t="s">
        <v>305</v>
      </c>
      <c r="J42" s="3" t="s">
        <v>306</v>
      </c>
      <c r="K42" s="5" t="s">
        <v>143</v>
      </c>
      <c r="L42" s="5" t="s">
        <v>67</v>
      </c>
      <c r="M42" s="5" t="s">
        <v>236</v>
      </c>
      <c r="N42" s="3" t="s">
        <v>67</v>
      </c>
      <c r="O42" s="6">
        <v>283520</v>
      </c>
      <c r="P42" s="6">
        <v>283588</v>
      </c>
      <c r="Q42" s="6">
        <f>P42-O42</f>
      </c>
      <c r="R42" s="7">
        <v>100</v>
      </c>
      <c r="S42" s="6">
        <f>IF(Q42-R42&lt;0,"0",Q42-R42)</f>
      </c>
      <c r="T42" s="6">
        <v>0</v>
      </c>
      <c r="U42" s="8">
        <v>46163.20833333333</v>
      </c>
      <c r="V42" s="8">
        <v>46163.37090277778</v>
      </c>
      <c r="W42" s="9">
        <f>V42-U42</f>
      </c>
      <c r="X42" s="10">
        <v>0.125</v>
      </c>
      <c r="Y42" s="9">
        <f>IF(W42-X42&lt;0,"00:00:00",W42-X42)</f>
      </c>
      <c r="Z42" s="11">
        <v>145</v>
      </c>
      <c r="AA42" s="11">
        <v>6.9</v>
      </c>
      <c r="AB42" s="12">
        <f>Y42*Z42*24</f>
      </c>
      <c r="AC42" s="12">
        <f>S42*AA42</f>
      </c>
      <c r="AD42" s="12">
        <f>T42*AA42</f>
      </c>
      <c r="AE42" s="11">
        <v>690</v>
      </c>
      <c r="AF42" s="12">
        <v>5.9</v>
      </c>
      <c r="AG42" s="12">
        <f>SUM(AB42:AF42)</f>
      </c>
      <c r="AH42" s="3"/>
      <c r="AI42" s="3"/>
      <c r="AJ42" s="3"/>
      <c r="AK42" s="3"/>
      <c r="AL42" s="3"/>
      <c r="AO42" s="3" t="s">
        <v>59</v>
      </c>
      <c r="AP42" s="6">
        <f>Q42</f>
      </c>
    </row>
    <row r="43" ht="18" customHeight="1" spans="1:42" x14ac:dyDescent="0.25">
      <c r="A43" s="3" t="s">
        <v>38</v>
      </c>
      <c r="B43" s="3" t="s">
        <v>39</v>
      </c>
      <c r="C43" s="3" t="s">
        <v>40</v>
      </c>
      <c r="D43" s="3" t="s">
        <v>117</v>
      </c>
      <c r="E43" s="3" t="s">
        <v>307</v>
      </c>
      <c r="F43" s="3" t="s">
        <v>308</v>
      </c>
      <c r="G43" s="3" t="s">
        <v>309</v>
      </c>
      <c r="H43" s="3" t="s">
        <v>310</v>
      </c>
      <c r="I43" s="3" t="s">
        <v>311</v>
      </c>
      <c r="J43" s="3" t="s">
        <v>312</v>
      </c>
      <c r="K43" s="5" t="s">
        <v>313</v>
      </c>
      <c r="L43" s="5" t="s">
        <v>122</v>
      </c>
      <c r="M43" s="5" t="s">
        <v>314</v>
      </c>
      <c r="N43" s="3" t="s">
        <v>108</v>
      </c>
      <c r="O43" s="6">
        <v>0</v>
      </c>
      <c r="P43" s="6">
        <v>0</v>
      </c>
      <c r="Q43" s="6">
        <v>0</v>
      </c>
      <c r="R43" s="7">
        <v>34</v>
      </c>
      <c r="S43" s="6">
        <f>IF(Q43-R43&lt;0,"0",Q43-R43)</f>
      </c>
      <c r="T43" s="6">
        <v>0</v>
      </c>
      <c r="U43" s="8">
        <v>46163.54166666667</v>
      </c>
      <c r="V43" s="8">
        <v>46163.54166666667</v>
      </c>
      <c r="W43" s="9">
        <f>V43-U43</f>
      </c>
      <c r="X43" s="10">
        <v>0.125</v>
      </c>
      <c r="Y43" s="9">
        <f>IF(W43-X43&lt;0,"00:00:00",W43-X43)</f>
      </c>
      <c r="Z43" s="11">
        <v>145</v>
      </c>
      <c r="AA43" s="11">
        <v>0</v>
      </c>
      <c r="AB43" s="12">
        <f>Y43*Z43*24</f>
      </c>
      <c r="AC43" s="12">
        <f>S43*AA43</f>
      </c>
      <c r="AD43" s="12">
        <f>T43*AA43</f>
      </c>
      <c r="AE43" s="11">
        <v>690</v>
      </c>
      <c r="AF43" s="12">
        <v>0</v>
      </c>
      <c r="AG43" s="12">
        <f>SUM(AB43:AF43)</f>
      </c>
      <c r="AH43" s="3"/>
      <c r="AI43" s="3"/>
      <c r="AJ43" s="3"/>
      <c r="AK43" s="3"/>
      <c r="AL43" s="3"/>
      <c r="AO43" s="3" t="s">
        <v>315</v>
      </c>
      <c r="AP43" s="6">
        <f>Q43</f>
      </c>
    </row>
    <row r="44" ht="18" customHeight="1" spans="1:42" x14ac:dyDescent="0.25">
      <c r="A44" s="3" t="s">
        <v>38</v>
      </c>
      <c r="B44" s="3" t="s">
        <v>39</v>
      </c>
      <c r="C44" s="3" t="s">
        <v>40</v>
      </c>
      <c r="D44" s="3" t="s">
        <v>41</v>
      </c>
      <c r="E44" s="3" t="s">
        <v>316</v>
      </c>
      <c r="F44" s="3" t="s">
        <v>317</v>
      </c>
      <c r="G44" s="3" t="s">
        <v>318</v>
      </c>
      <c r="H44" s="3" t="s">
        <v>319</v>
      </c>
      <c r="I44" s="3" t="s">
        <v>154</v>
      </c>
      <c r="J44" s="3" t="s">
        <v>320</v>
      </c>
      <c r="K44" s="5" t="s">
        <v>321</v>
      </c>
      <c r="L44" s="5" t="s">
        <v>67</v>
      </c>
      <c r="M44" s="5" t="s">
        <v>79</v>
      </c>
      <c r="N44" s="3" t="s">
        <v>67</v>
      </c>
      <c r="O44" s="6">
        <v>143399</v>
      </c>
      <c r="P44" s="6">
        <v>143504</v>
      </c>
      <c r="Q44" s="6">
        <f>P44-O44</f>
      </c>
      <c r="R44" s="7">
        <v>100</v>
      </c>
      <c r="S44" s="6">
        <f>IF(Q44-R44&lt;0,"0",Q44-R44)</f>
      </c>
      <c r="T44" s="6">
        <v>0</v>
      </c>
      <c r="U44" s="8">
        <v>46163.54166666667</v>
      </c>
      <c r="V44" s="8">
        <v>46163.65800925926</v>
      </c>
      <c r="W44" s="9">
        <f>V44-U44</f>
      </c>
      <c r="X44" s="10">
        <v>0.125</v>
      </c>
      <c r="Y44" s="9">
        <f>IF(W44-X44&lt;0,"00:00:00",W44-X44)</f>
      </c>
      <c r="Z44" s="11">
        <v>145</v>
      </c>
      <c r="AA44" s="11">
        <v>6.9</v>
      </c>
      <c r="AB44" s="12">
        <f>Y44*Z44*24</f>
      </c>
      <c r="AC44" s="12">
        <f>S44*AA44</f>
      </c>
      <c r="AD44" s="12">
        <f>T44*AA44</f>
      </c>
      <c r="AE44" s="11">
        <v>690</v>
      </c>
      <c r="AF44" s="12">
        <v>25</v>
      </c>
      <c r="AG44" s="12">
        <f>SUM(AB44:AF44)</f>
      </c>
      <c r="AH44" s="3"/>
      <c r="AI44" s="3"/>
      <c r="AJ44" s="3"/>
      <c r="AK44" s="3"/>
      <c r="AL44" s="3"/>
      <c r="AO44" s="3" t="s">
        <v>59</v>
      </c>
      <c r="AP44" s="6">
        <f>Q44</f>
      </c>
    </row>
    <row r="45" ht="18" customHeight="1" spans="1:42" x14ac:dyDescent="0.25">
      <c r="A45" s="3" t="s">
        <v>38</v>
      </c>
      <c r="B45" s="3" t="s">
        <v>39</v>
      </c>
      <c r="C45" s="3" t="s">
        <v>40</v>
      </c>
      <c r="D45" s="3" t="s">
        <v>41</v>
      </c>
      <c r="E45" s="3" t="s">
        <v>322</v>
      </c>
      <c r="F45" s="3" t="s">
        <v>323</v>
      </c>
      <c r="G45" s="3" t="s">
        <v>324</v>
      </c>
      <c r="H45" s="3" t="s">
        <v>325</v>
      </c>
      <c r="I45" s="3" t="s">
        <v>240</v>
      </c>
      <c r="J45" s="3" t="s">
        <v>326</v>
      </c>
      <c r="K45" s="5" t="s">
        <v>327</v>
      </c>
      <c r="L45" s="5" t="s">
        <v>108</v>
      </c>
      <c r="M45" s="5" t="s">
        <v>328</v>
      </c>
      <c r="N45" s="4" t="s">
        <v>47</v>
      </c>
      <c r="O45" s="6">
        <v>251428</v>
      </c>
      <c r="P45" s="6">
        <v>251443</v>
      </c>
      <c r="Q45" s="6">
        <v>500</v>
      </c>
      <c r="R45" s="7">
        <v>100</v>
      </c>
      <c r="S45" s="6">
        <f>IF(Q45-R45&lt;0,"0",Q45-R45)</f>
      </c>
      <c r="T45" s="6">
        <v>0</v>
      </c>
      <c r="U45" s="8">
        <v>46163.54166666667</v>
      </c>
      <c r="V45" s="8">
        <v>46163.64059027778</v>
      </c>
      <c r="W45" s="9">
        <f>V45-U45</f>
      </c>
      <c r="X45" s="10">
        <v>0.125</v>
      </c>
      <c r="Y45" s="9">
        <f>IF(W45-X45&lt;0,"00:00:00",W45-X45)</f>
      </c>
      <c r="Z45" s="11">
        <v>145</v>
      </c>
      <c r="AA45" s="11">
        <v>0</v>
      </c>
      <c r="AB45" s="12">
        <f>Y45*Z45*24</f>
      </c>
      <c r="AC45" s="12">
        <f>S45*AA45</f>
      </c>
      <c r="AD45" s="12">
        <f>T45*AA45</f>
      </c>
      <c r="AE45" s="11">
        <v>735</v>
      </c>
      <c r="AF45" s="12">
        <v>0</v>
      </c>
      <c r="AG45" s="12">
        <f>SUM(AB45:AF45)</f>
      </c>
      <c r="AH45" s="3"/>
      <c r="AI45" s="3"/>
      <c r="AJ45" s="3"/>
      <c r="AK45" s="3"/>
      <c r="AL45" s="3"/>
      <c r="AO45" s="3" t="s">
        <v>242</v>
      </c>
      <c r="AP45" s="6">
        <f>Q45</f>
      </c>
    </row>
    <row r="46" ht="18" customHeight="1" spans="1:42" x14ac:dyDescent="0.25">
      <c r="A46" s="3" t="s">
        <v>38</v>
      </c>
      <c r="B46" s="3" t="s">
        <v>39</v>
      </c>
      <c r="C46" s="3" t="s">
        <v>40</v>
      </c>
      <c r="D46" s="3" t="s">
        <v>41</v>
      </c>
      <c r="E46" s="3" t="s">
        <v>329</v>
      </c>
      <c r="F46" s="3" t="s">
        <v>330</v>
      </c>
      <c r="G46" s="3" t="s">
        <v>331</v>
      </c>
      <c r="H46" s="3" t="s">
        <v>332</v>
      </c>
      <c r="I46" s="3" t="s">
        <v>333</v>
      </c>
      <c r="J46" s="3" t="s">
        <v>334</v>
      </c>
      <c r="K46" s="5" t="s">
        <v>335</v>
      </c>
      <c r="L46" s="5" t="s">
        <v>336</v>
      </c>
      <c r="M46" s="5" t="s">
        <v>337</v>
      </c>
      <c r="N46" s="3" t="s">
        <v>336</v>
      </c>
      <c r="O46" s="6">
        <v>227206</v>
      </c>
      <c r="P46" s="6">
        <v>227216</v>
      </c>
      <c r="Q46" s="6">
        <f>P46-O46</f>
      </c>
      <c r="R46" s="7">
        <v>100</v>
      </c>
      <c r="S46" s="6">
        <f>IF(Q46-R46&lt;0,"0",Q46-R46)</f>
      </c>
      <c r="T46" s="6">
        <v>0</v>
      </c>
      <c r="U46" s="8">
        <v>46163.59722222222</v>
      </c>
      <c r="V46" s="8">
        <v>46163.667129629626</v>
      </c>
      <c r="W46" s="9">
        <f>V46-U46</f>
      </c>
      <c r="X46" s="10">
        <v>0.125</v>
      </c>
      <c r="Y46" s="9">
        <f>IF(W46-X46&lt;0,"00:00:00",W46-X46)</f>
      </c>
      <c r="Z46" s="11">
        <v>145</v>
      </c>
      <c r="AA46" s="11">
        <v>7.35</v>
      </c>
      <c r="AB46" s="12">
        <f>Y46*Z46*24</f>
      </c>
      <c r="AC46" s="12">
        <f>S46*AA46</f>
      </c>
      <c r="AD46" s="12">
        <f>T46*AA46</f>
      </c>
      <c r="AE46" s="11">
        <v>690</v>
      </c>
      <c r="AF46" s="12">
        <v>0</v>
      </c>
      <c r="AG46" s="12">
        <f>SUM(AB46:AF46)</f>
      </c>
      <c r="AH46" s="3"/>
      <c r="AI46" s="3"/>
      <c r="AJ46" s="3"/>
      <c r="AK46" s="3"/>
      <c r="AL46" s="3"/>
      <c r="AO46" s="3" t="s">
        <v>50</v>
      </c>
      <c r="AP46" s="6">
        <f>Q46</f>
      </c>
    </row>
    <row r="47" ht="18" customHeight="1" spans="1:42" x14ac:dyDescent="0.25">
      <c r="A47" s="3" t="s">
        <v>38</v>
      </c>
      <c r="B47" s="3" t="s">
        <v>39</v>
      </c>
      <c r="C47" s="3" t="s">
        <v>40</v>
      </c>
      <c r="D47" s="3" t="s">
        <v>41</v>
      </c>
      <c r="E47" s="3" t="s">
        <v>338</v>
      </c>
      <c r="F47" s="3" t="s">
        <v>339</v>
      </c>
      <c r="G47" s="3" t="s">
        <v>340</v>
      </c>
      <c r="H47" s="3" t="s">
        <v>341</v>
      </c>
      <c r="I47" s="3" t="s">
        <v>342</v>
      </c>
      <c r="J47" s="3" t="s">
        <v>343</v>
      </c>
      <c r="K47" s="5" t="s">
        <v>344</v>
      </c>
      <c r="L47" s="5" t="s">
        <v>345</v>
      </c>
      <c r="M47" s="5" t="s">
        <v>346</v>
      </c>
      <c r="N47" s="3" t="s">
        <v>345</v>
      </c>
      <c r="O47" s="6">
        <v>74432</v>
      </c>
      <c r="P47" s="6">
        <v>74451</v>
      </c>
      <c r="Q47" s="6">
        <f>P47-O47</f>
      </c>
      <c r="R47" s="7">
        <v>100</v>
      </c>
      <c r="S47" s="6">
        <f>IF(Q47-R47&lt;0,"0",Q47-R47)</f>
      </c>
      <c r="T47" s="6">
        <v>0</v>
      </c>
      <c r="U47" s="8">
        <v>46164.33333333333</v>
      </c>
      <c r="V47" s="8">
        <v>46164.39472222222</v>
      </c>
      <c r="W47" s="9">
        <f>V47-U47</f>
      </c>
      <c r="X47" s="10">
        <v>0.125</v>
      </c>
      <c r="Y47" s="9">
        <f>IF(W47-X47&lt;0,"00:00:00",W47-X47)</f>
      </c>
      <c r="Z47" s="11">
        <v>145</v>
      </c>
      <c r="AA47" s="11">
        <v>6.9</v>
      </c>
      <c r="AB47" s="12">
        <f>Y47*Z47*24</f>
      </c>
      <c r="AC47" s="12">
        <f>S47*AA47</f>
      </c>
      <c r="AD47" s="12">
        <f>T47*AA47</f>
      </c>
      <c r="AE47" s="11">
        <v>690</v>
      </c>
      <c r="AF47" s="12">
        <v>0</v>
      </c>
      <c r="AG47" s="12">
        <f>SUM(AB47:AF47)</f>
      </c>
      <c r="AH47" s="3"/>
      <c r="AI47" s="3"/>
      <c r="AJ47" s="3"/>
      <c r="AK47" s="3"/>
      <c r="AL47" s="3"/>
      <c r="AO47" s="3" t="s">
        <v>347</v>
      </c>
      <c r="AP47" s="6">
        <f>Q47</f>
      </c>
    </row>
    <row r="48" ht="18" customHeight="1" spans="1:42" x14ac:dyDescent="0.25">
      <c r="A48" s="3" t="s">
        <v>38</v>
      </c>
      <c r="B48" s="3" t="s">
        <v>39</v>
      </c>
      <c r="C48" s="3" t="s">
        <v>40</v>
      </c>
      <c r="D48" s="3" t="s">
        <v>41</v>
      </c>
      <c r="E48" s="3" t="s">
        <v>157</v>
      </c>
      <c r="F48" s="3" t="s">
        <v>348</v>
      </c>
      <c r="G48" s="3" t="s">
        <v>349</v>
      </c>
      <c r="H48" s="3" t="s">
        <v>350</v>
      </c>
      <c r="I48" s="3" t="s">
        <v>351</v>
      </c>
      <c r="J48" s="3" t="s">
        <v>352</v>
      </c>
      <c r="K48" s="5" t="s">
        <v>353</v>
      </c>
      <c r="L48" s="5" t="s">
        <v>49</v>
      </c>
      <c r="M48" s="5" t="s">
        <v>354</v>
      </c>
      <c r="N48" s="3" t="s">
        <v>67</v>
      </c>
      <c r="O48" s="6">
        <v>381005</v>
      </c>
      <c r="P48" s="6">
        <v>381624</v>
      </c>
      <c r="Q48" s="6">
        <v>500</v>
      </c>
      <c r="R48" s="7">
        <v>500</v>
      </c>
      <c r="S48" s="6">
        <f>IF(Q48-R48&lt;0,"0",Q48-R48)</f>
      </c>
      <c r="T48" s="6">
        <v>0</v>
      </c>
      <c r="U48" s="8">
        <v>46163.77777777778</v>
      </c>
      <c r="V48" s="8">
        <v>46164.32782407408</v>
      </c>
      <c r="W48" s="9">
        <f>V48-U48</f>
      </c>
      <c r="X48" s="10">
        <v>0.4583333333333333</v>
      </c>
      <c r="Y48" s="9">
        <f>IF(W48-X48&lt;0,"00:00:00",W48-X48)</f>
      </c>
      <c r="Z48" s="11">
        <v>145</v>
      </c>
      <c r="AA48" s="11">
        <v>0</v>
      </c>
      <c r="AB48" s="12">
        <f>Y48*Z48*24</f>
      </c>
      <c r="AC48" s="12">
        <f>S48*AA48</f>
      </c>
      <c r="AD48" s="12">
        <f>T48*AA48</f>
      </c>
      <c r="AE48" s="11">
        <v>3450</v>
      </c>
      <c r="AF48" s="12">
        <v>60</v>
      </c>
      <c r="AG48" s="12">
        <f>SUM(AB48:AF48)</f>
      </c>
      <c r="AH48" s="3"/>
      <c r="AI48" s="3"/>
      <c r="AJ48" s="3"/>
      <c r="AK48" s="3"/>
      <c r="AL48" s="3"/>
      <c r="AO48" s="3" t="s">
        <v>164</v>
      </c>
      <c r="AP48" s="6">
        <f>Q48</f>
      </c>
    </row>
    <row r="49" ht="18" customHeight="1" spans="1:42" x14ac:dyDescent="0.25">
      <c r="A49" s="3" t="s">
        <v>38</v>
      </c>
      <c r="B49" s="3" t="s">
        <v>39</v>
      </c>
      <c r="C49" s="3" t="s">
        <v>40</v>
      </c>
      <c r="D49" s="3" t="s">
        <v>41</v>
      </c>
      <c r="E49" s="3" t="s">
        <v>123</v>
      </c>
      <c r="F49" s="3" t="s">
        <v>355</v>
      </c>
      <c r="G49" s="3" t="s">
        <v>356</v>
      </c>
      <c r="H49" s="3" t="s">
        <v>357</v>
      </c>
      <c r="I49" s="3" t="s">
        <v>358</v>
      </c>
      <c r="J49" s="4" t="s">
        <v>47</v>
      </c>
      <c r="K49" s="5" t="s">
        <v>169</v>
      </c>
      <c r="L49" s="5" t="s">
        <v>67</v>
      </c>
      <c r="M49" s="5" t="s">
        <v>79</v>
      </c>
      <c r="N49" s="3" t="s">
        <v>67</v>
      </c>
      <c r="O49" s="6">
        <v>14103</v>
      </c>
      <c r="P49" s="6">
        <v>14166</v>
      </c>
      <c r="Q49" s="6">
        <f>P49-O49</f>
      </c>
      <c r="R49" s="7">
        <v>100</v>
      </c>
      <c r="S49" s="6">
        <f>IF(Q49-R49&lt;0,"0",Q49-R49)</f>
      </c>
      <c r="T49" s="6">
        <v>0</v>
      </c>
      <c r="U49" s="8">
        <v>46163.91666666667</v>
      </c>
      <c r="V49" s="8">
        <v>46163.985821759255</v>
      </c>
      <c r="W49" s="9">
        <f>V49-U49</f>
      </c>
      <c r="X49" s="10">
        <v>0.125</v>
      </c>
      <c r="Y49" s="9">
        <f>IF(W49-X49&lt;0,"00:00:00",W49-X49)</f>
      </c>
      <c r="Z49" s="11">
        <v>145</v>
      </c>
      <c r="AA49" s="11">
        <v>6.9</v>
      </c>
      <c r="AB49" s="12">
        <f>Y49*Z49*24</f>
      </c>
      <c r="AC49" s="12">
        <f>S49*AA49</f>
      </c>
      <c r="AD49" s="12">
        <f>T49*AA49</f>
      </c>
      <c r="AE49" s="11">
        <v>690</v>
      </c>
      <c r="AF49" s="12">
        <v>10.4</v>
      </c>
      <c r="AG49" s="12">
        <f>SUM(AB49:AF49)</f>
      </c>
      <c r="AH49" s="3"/>
      <c r="AI49" s="3"/>
      <c r="AJ49" s="3"/>
      <c r="AK49" s="3"/>
      <c r="AL49" s="3"/>
      <c r="AO49" s="3" t="s">
        <v>59</v>
      </c>
      <c r="AP49" s="6">
        <f>Q49</f>
      </c>
    </row>
    <row r="50" ht="18" customHeight="1" spans="1:42" x14ac:dyDescent="0.25">
      <c r="A50" s="3" t="s">
        <v>38</v>
      </c>
      <c r="B50" s="3" t="s">
        <v>39</v>
      </c>
      <c r="C50" s="3" t="s">
        <v>40</v>
      </c>
      <c r="D50" s="3" t="s">
        <v>41</v>
      </c>
      <c r="E50" s="3" t="s">
        <v>157</v>
      </c>
      <c r="F50" s="3" t="s">
        <v>359</v>
      </c>
      <c r="G50" s="3" t="s">
        <v>349</v>
      </c>
      <c r="H50" s="3" t="s">
        <v>360</v>
      </c>
      <c r="I50" s="3" t="s">
        <v>295</v>
      </c>
      <c r="J50" s="3" t="s">
        <v>352</v>
      </c>
      <c r="K50" s="5" t="s">
        <v>353</v>
      </c>
      <c r="L50" s="5" t="s">
        <v>49</v>
      </c>
      <c r="M50" s="5" t="s">
        <v>354</v>
      </c>
      <c r="N50" s="3" t="s">
        <v>67</v>
      </c>
      <c r="O50" s="6">
        <v>312192</v>
      </c>
      <c r="P50" s="6">
        <v>312810</v>
      </c>
      <c r="Q50" s="6">
        <v>500</v>
      </c>
      <c r="R50" s="7">
        <v>500</v>
      </c>
      <c r="S50" s="6">
        <f>IF(Q50-R50&lt;0,"0",Q50-R50)</f>
      </c>
      <c r="T50" s="6">
        <v>0</v>
      </c>
      <c r="U50" s="8">
        <v>46163.77777777778</v>
      </c>
      <c r="V50" s="8">
        <v>46164.64782407407</v>
      </c>
      <c r="W50" s="9">
        <f>V50-U50</f>
      </c>
      <c r="X50" s="10">
        <v>0.4583333333333333</v>
      </c>
      <c r="Y50" s="9">
        <f>IF(W50-X50&lt;0,"00:00:00",W50-X50)</f>
      </c>
      <c r="Z50" s="11">
        <v>145</v>
      </c>
      <c r="AA50" s="11">
        <v>0</v>
      </c>
      <c r="AB50" s="12">
        <f>Y50*Z50*24</f>
      </c>
      <c r="AC50" s="12">
        <f>S50*AA50</f>
      </c>
      <c r="AD50" s="12">
        <f>T50*AA50</f>
      </c>
      <c r="AE50" s="11">
        <v>3450</v>
      </c>
      <c r="AF50" s="12">
        <v>60</v>
      </c>
      <c r="AG50" s="12">
        <f>SUM(AB50:AF50)</f>
      </c>
      <c r="AH50" s="3"/>
      <c r="AI50" s="3"/>
      <c r="AJ50" s="3"/>
      <c r="AK50" s="3"/>
      <c r="AL50" s="3"/>
      <c r="AO50" s="3" t="s">
        <v>164</v>
      </c>
      <c r="AP50" s="6">
        <f>Q50</f>
      </c>
    </row>
    <row r="51" ht="18" customHeight="1" spans="1:42" x14ac:dyDescent="0.25">
      <c r="A51" s="3" t="s">
        <v>38</v>
      </c>
      <c r="B51" s="3" t="s">
        <v>39</v>
      </c>
      <c r="C51" s="3" t="s">
        <v>40</v>
      </c>
      <c r="D51" s="3" t="s">
        <v>117</v>
      </c>
      <c r="E51" s="3" t="s">
        <v>361</v>
      </c>
      <c r="F51" s="3" t="s">
        <v>362</v>
      </c>
      <c r="G51" s="4" t="s">
        <v>47</v>
      </c>
      <c r="H51" s="3" t="s">
        <v>363</v>
      </c>
      <c r="I51" s="3" t="s">
        <v>364</v>
      </c>
      <c r="J51" s="4" t="s">
        <v>47</v>
      </c>
      <c r="K51" s="5" t="s">
        <v>365</v>
      </c>
      <c r="L51" s="5" t="s">
        <v>122</v>
      </c>
      <c r="M51" s="5" t="s">
        <v>179</v>
      </c>
      <c r="N51" s="4" t="s">
        <v>47</v>
      </c>
      <c r="O51" s="6">
        <v>0</v>
      </c>
      <c r="P51" s="6">
        <v>0</v>
      </c>
      <c r="Q51" s="6">
        <v>0</v>
      </c>
      <c r="R51" s="7">
        <v>100</v>
      </c>
      <c r="S51" s="6">
        <f>IF(Q51-R51&lt;0,"0",Q51-R51)</f>
      </c>
      <c r="T51" s="6">
        <v>0</v>
      </c>
      <c r="U51" s="8">
        <v>46163.790972222225</v>
      </c>
      <c r="V51" s="8">
        <v>46163.790972222225</v>
      </c>
      <c r="W51" s="9">
        <f>V51-U51</f>
      </c>
      <c r="X51" s="10">
        <v>0.125</v>
      </c>
      <c r="Y51" s="9">
        <f>IF(W51-X51&lt;0,"00:00:00",W51-X51)</f>
      </c>
      <c r="Z51" s="11">
        <v>145</v>
      </c>
      <c r="AA51" s="11">
        <v>6.9</v>
      </c>
      <c r="AB51" s="12">
        <f>Y51*Z51*24</f>
      </c>
      <c r="AC51" s="12">
        <f>S51*AA51</f>
      </c>
      <c r="AD51" s="12">
        <f>T51*AA51</f>
      </c>
      <c r="AE51" s="11">
        <v>690</v>
      </c>
      <c r="AF51" s="12">
        <v>0</v>
      </c>
      <c r="AG51" s="12">
        <f>SUM(AB51:AF51)</f>
      </c>
      <c r="AH51" s="3"/>
      <c r="AI51" s="3"/>
      <c r="AJ51" s="3"/>
      <c r="AK51" s="3"/>
      <c r="AL51" s="3"/>
      <c r="AO51" s="3" t="s">
        <v>59</v>
      </c>
      <c r="AP51" s="6">
        <f>Q51</f>
      </c>
    </row>
    <row r="52" ht="18" customHeight="1" spans="1:42" x14ac:dyDescent="0.25">
      <c r="A52" s="3" t="s">
        <v>38</v>
      </c>
      <c r="B52" s="3" t="s">
        <v>39</v>
      </c>
      <c r="C52" s="3" t="s">
        <v>40</v>
      </c>
      <c r="D52" s="3" t="s">
        <v>41</v>
      </c>
      <c r="E52" s="3" t="s">
        <v>366</v>
      </c>
      <c r="F52" s="3" t="s">
        <v>367</v>
      </c>
      <c r="G52" s="3" t="s">
        <v>368</v>
      </c>
      <c r="H52" s="3" t="s">
        <v>369</v>
      </c>
      <c r="I52" s="3" t="s">
        <v>370</v>
      </c>
      <c r="J52" s="3" t="s">
        <v>371</v>
      </c>
      <c r="K52" s="5" t="s">
        <v>372</v>
      </c>
      <c r="L52" s="5" t="s">
        <v>373</v>
      </c>
      <c r="M52" s="5" t="s">
        <v>374</v>
      </c>
      <c r="N52" s="3" t="s">
        <v>373</v>
      </c>
      <c r="O52" s="6">
        <v>19921</v>
      </c>
      <c r="P52" s="6">
        <v>19942</v>
      </c>
      <c r="Q52" s="6">
        <f>P52-O52</f>
      </c>
      <c r="R52" s="7">
        <v>100</v>
      </c>
      <c r="S52" s="6">
        <f>IF(Q52-R52&lt;0,"0",Q52-R52)</f>
      </c>
      <c r="T52" s="6">
        <v>0</v>
      </c>
      <c r="U52" s="8">
        <v>46164.29166666667</v>
      </c>
      <c r="V52" s="8">
        <v>46164.35060185185</v>
      </c>
      <c r="W52" s="9">
        <f>V52-U52</f>
      </c>
      <c r="X52" s="10">
        <v>0.125</v>
      </c>
      <c r="Y52" s="9">
        <f>IF(W52-X52&lt;0,"00:00:00",W52-X52)</f>
      </c>
      <c r="Z52" s="11">
        <v>145</v>
      </c>
      <c r="AA52" s="11">
        <v>6.9</v>
      </c>
      <c r="AB52" s="12">
        <f>Y52*Z52*24</f>
      </c>
      <c r="AC52" s="12">
        <f>S52*AA52</f>
      </c>
      <c r="AD52" s="12">
        <f>T52*AA52</f>
      </c>
      <c r="AE52" s="11">
        <v>690</v>
      </c>
      <c r="AF52" s="12">
        <v>7.7</v>
      </c>
      <c r="AG52" s="12">
        <f>SUM(AB52:AF52)</f>
      </c>
      <c r="AH52" s="3"/>
      <c r="AI52" s="3"/>
      <c r="AJ52" s="3"/>
      <c r="AK52" s="3"/>
      <c r="AL52" s="3"/>
      <c r="AO52" s="3" t="s">
        <v>347</v>
      </c>
      <c r="AP52" s="6">
        <f>Q52</f>
      </c>
    </row>
    <row r="53" ht="18" customHeight="1" spans="1:42" x14ac:dyDescent="0.25">
      <c r="A53" s="3" t="s">
        <v>38</v>
      </c>
      <c r="B53" s="3" t="s">
        <v>39</v>
      </c>
      <c r="C53" s="3" t="s">
        <v>40</v>
      </c>
      <c r="D53" s="3" t="s">
        <v>41</v>
      </c>
      <c r="E53" s="3" t="s">
        <v>375</v>
      </c>
      <c r="F53" s="3" t="s">
        <v>376</v>
      </c>
      <c r="G53" s="3" t="s">
        <v>377</v>
      </c>
      <c r="H53" s="3" t="s">
        <v>378</v>
      </c>
      <c r="I53" s="3" t="s">
        <v>234</v>
      </c>
      <c r="J53" s="4" t="s">
        <v>47</v>
      </c>
      <c r="K53" s="5" t="s">
        <v>379</v>
      </c>
      <c r="L53" s="5" t="s">
        <v>122</v>
      </c>
      <c r="M53" s="5" t="s">
        <v>223</v>
      </c>
      <c r="N53" s="4" t="s">
        <v>47</v>
      </c>
      <c r="O53" s="6">
        <v>65365</v>
      </c>
      <c r="P53" s="6">
        <v>65505</v>
      </c>
      <c r="Q53" s="6">
        <v>400</v>
      </c>
      <c r="R53" s="7">
        <v>400</v>
      </c>
      <c r="S53" s="6">
        <f>IF(Q53-R53&lt;0,"0",Q53-R53)</f>
      </c>
      <c r="T53" s="6">
        <v>0</v>
      </c>
      <c r="U53" s="8">
        <v>46163.875</v>
      </c>
      <c r="V53" s="8">
        <v>46163.98239583333</v>
      </c>
      <c r="W53" s="9">
        <f>V53-U53</f>
      </c>
      <c r="X53" s="10">
        <v>0.375</v>
      </c>
      <c r="Y53" s="9">
        <f>IF(W53-X53&lt;0,"00:00:00",W53-X53)</f>
      </c>
      <c r="Z53" s="11">
        <v>145</v>
      </c>
      <c r="AA53" s="11">
        <v>0</v>
      </c>
      <c r="AB53" s="12">
        <f>Y53*Z53*24</f>
      </c>
      <c r="AC53" s="12">
        <f>S53*AA53</f>
      </c>
      <c r="AD53" s="12">
        <f>T53*AA53</f>
      </c>
      <c r="AE53" s="11">
        <v>2760</v>
      </c>
      <c r="AF53" s="12">
        <v>25</v>
      </c>
      <c r="AG53" s="12">
        <f>SUM(AB53:AF53)</f>
      </c>
      <c r="AH53" s="3"/>
      <c r="AI53" s="3"/>
      <c r="AJ53" s="3"/>
      <c r="AK53" s="3"/>
      <c r="AL53" s="3"/>
      <c r="AO53" s="3" t="s">
        <v>224</v>
      </c>
      <c r="AP53" s="6">
        <f>Q53</f>
      </c>
    </row>
    <row r="54" ht="18" customHeight="1" spans="1:42" x14ac:dyDescent="0.25">
      <c r="A54" s="3" t="s">
        <v>38</v>
      </c>
      <c r="B54" s="3" t="s">
        <v>39</v>
      </c>
      <c r="C54" s="3" t="s">
        <v>40</v>
      </c>
      <c r="D54" s="3" t="s">
        <v>41</v>
      </c>
      <c r="E54" s="3" t="s">
        <v>375</v>
      </c>
      <c r="F54" s="3" t="s">
        <v>380</v>
      </c>
      <c r="G54" s="3" t="s">
        <v>381</v>
      </c>
      <c r="H54" s="3" t="s">
        <v>382</v>
      </c>
      <c r="I54" s="3" t="s">
        <v>272</v>
      </c>
      <c r="J54" s="4" t="s">
        <v>47</v>
      </c>
      <c r="K54" s="5" t="s">
        <v>383</v>
      </c>
      <c r="L54" s="13" t="s">
        <v>47</v>
      </c>
      <c r="M54" s="5" t="s">
        <v>223</v>
      </c>
      <c r="N54" s="4" t="s">
        <v>47</v>
      </c>
      <c r="O54" s="6">
        <v>80635</v>
      </c>
      <c r="P54" s="6">
        <v>80757</v>
      </c>
      <c r="Q54" s="6">
        <v>400</v>
      </c>
      <c r="R54" s="7">
        <v>100</v>
      </c>
      <c r="S54" s="6">
        <f>IF(Q54-R54&lt;0,"0",Q54-R54)</f>
      </c>
      <c r="T54" s="6">
        <v>0</v>
      </c>
      <c r="U54" s="8">
        <v>46163.89236111111</v>
      </c>
      <c r="V54" s="8">
        <v>46163.96440972222</v>
      </c>
      <c r="W54" s="9">
        <f>V54-U54</f>
      </c>
      <c r="X54" s="10">
        <v>0.125</v>
      </c>
      <c r="Y54" s="9">
        <f>IF(W54-X54&lt;0,"00:00:00",W54-X54)</f>
      </c>
      <c r="Z54" s="11">
        <v>145</v>
      </c>
      <c r="AA54" s="11">
        <v>6.9</v>
      </c>
      <c r="AB54" s="12">
        <f>Y54*Z54*24</f>
      </c>
      <c r="AC54" s="12">
        <f>S54*AA54</f>
      </c>
      <c r="AD54" s="12">
        <f>T54*AA54</f>
      </c>
      <c r="AE54" s="11">
        <v>690</v>
      </c>
      <c r="AF54" s="12">
        <v>25</v>
      </c>
      <c r="AG54" s="12">
        <f>SUM(AB54:AF54)</f>
      </c>
      <c r="AH54" s="3"/>
      <c r="AI54" s="3"/>
      <c r="AJ54" s="3"/>
      <c r="AK54" s="3"/>
      <c r="AL54" s="3"/>
      <c r="AO54" s="3" t="s">
        <v>59</v>
      </c>
      <c r="AP54" s="6">
        <f>Q54</f>
      </c>
    </row>
    <row r="55" ht="18" customHeight="1" spans="1:42" x14ac:dyDescent="0.25">
      <c r="A55" s="3" t="s">
        <v>38</v>
      </c>
      <c r="B55" s="3" t="s">
        <v>39</v>
      </c>
      <c r="C55" s="3" t="s">
        <v>40</v>
      </c>
      <c r="D55" s="3" t="s">
        <v>41</v>
      </c>
      <c r="E55" s="3" t="s">
        <v>123</v>
      </c>
      <c r="F55" s="3" t="s">
        <v>384</v>
      </c>
      <c r="G55" s="3" t="s">
        <v>385</v>
      </c>
      <c r="H55" s="3" t="s">
        <v>386</v>
      </c>
      <c r="I55" s="3" t="s">
        <v>272</v>
      </c>
      <c r="J55" s="3" t="s">
        <v>387</v>
      </c>
      <c r="K55" s="5" t="s">
        <v>388</v>
      </c>
      <c r="L55" s="5" t="s">
        <v>67</v>
      </c>
      <c r="M55" s="5" t="s">
        <v>179</v>
      </c>
      <c r="N55" s="4" t="s">
        <v>47</v>
      </c>
      <c r="O55" s="6">
        <v>80963</v>
      </c>
      <c r="P55" s="6">
        <v>81002</v>
      </c>
      <c r="Q55" s="6">
        <f>P55-O55</f>
      </c>
      <c r="R55" s="7">
        <v>100</v>
      </c>
      <c r="S55" s="6">
        <f>IF(Q55-R55&lt;0,"0",Q55-R55)</f>
      </c>
      <c r="T55" s="6">
        <v>0</v>
      </c>
      <c r="U55" s="8">
        <v>46164.625</v>
      </c>
      <c r="V55" s="8">
        <v>46164.67967592593</v>
      </c>
      <c r="W55" s="9">
        <f>V55-U55</f>
      </c>
      <c r="X55" s="10">
        <v>0.125</v>
      </c>
      <c r="Y55" s="9">
        <f>IF(W55-X55&lt;0,"00:00:00",W55-X55)</f>
      </c>
      <c r="Z55" s="11">
        <v>145</v>
      </c>
      <c r="AA55" s="11">
        <v>6.9</v>
      </c>
      <c r="AB55" s="12">
        <f>Y55*Z55*24</f>
      </c>
      <c r="AC55" s="12">
        <f>S55*AA55</f>
      </c>
      <c r="AD55" s="12">
        <f>T55*AA55</f>
      </c>
      <c r="AE55" s="11">
        <v>690</v>
      </c>
      <c r="AF55" s="12">
        <v>0</v>
      </c>
      <c r="AG55" s="12">
        <f>SUM(AB55:AF55)</f>
      </c>
      <c r="AH55" s="3"/>
      <c r="AI55" s="3"/>
      <c r="AJ55" s="3"/>
      <c r="AK55" s="3"/>
      <c r="AL55" s="3"/>
      <c r="AO55" s="3" t="s">
        <v>59</v>
      </c>
      <c r="AP55" s="6">
        <f>Q55</f>
      </c>
    </row>
    <row r="56" ht="18" customHeight="1" spans="1:42" x14ac:dyDescent="0.25">
      <c r="A56" s="3" t="s">
        <v>38</v>
      </c>
      <c r="B56" s="3" t="s">
        <v>39</v>
      </c>
      <c r="C56" s="3" t="s">
        <v>40</v>
      </c>
      <c r="D56" s="3" t="s">
        <v>41</v>
      </c>
      <c r="E56" s="3" t="s">
        <v>389</v>
      </c>
      <c r="F56" s="3" t="s">
        <v>390</v>
      </c>
      <c r="G56" s="3" t="s">
        <v>391</v>
      </c>
      <c r="H56" s="3" t="s">
        <v>392</v>
      </c>
      <c r="I56" s="3" t="s">
        <v>393</v>
      </c>
      <c r="J56" s="4" t="s">
        <v>47</v>
      </c>
      <c r="K56" s="5" t="s">
        <v>394</v>
      </c>
      <c r="L56" s="5" t="s">
        <v>88</v>
      </c>
      <c r="M56" s="5" t="s">
        <v>68</v>
      </c>
      <c r="N56" s="4" t="s">
        <v>47</v>
      </c>
      <c r="O56" s="6">
        <v>52227</v>
      </c>
      <c r="P56" s="6">
        <v>52427</v>
      </c>
      <c r="Q56" s="6">
        <v>200</v>
      </c>
      <c r="R56" s="7">
        <v>200</v>
      </c>
      <c r="S56" s="6">
        <f>IF(Q56-R56&lt;0,"0",Q56-R56)</f>
      </c>
      <c r="T56" s="6">
        <v>0</v>
      </c>
      <c r="U56" s="8">
        <v>46163.92361111111</v>
      </c>
      <c r="V56" s="8">
        <v>46164.097025462965</v>
      </c>
      <c r="W56" s="9">
        <f>V56-U56</f>
      </c>
      <c r="X56" s="10">
        <v>0.20833333333333334</v>
      </c>
      <c r="Y56" s="9">
        <f>IF(W56-X56&lt;0,"00:00:00",W56-X56)</f>
      </c>
      <c r="Z56" s="11">
        <v>145</v>
      </c>
      <c r="AA56" s="11">
        <v>0</v>
      </c>
      <c r="AB56" s="12">
        <f>Y56*Z56*24</f>
      </c>
      <c r="AC56" s="12">
        <f>S56*AA56</f>
      </c>
      <c r="AD56" s="12">
        <f>T56*AA56</f>
      </c>
      <c r="AE56" s="11">
        <v>1380</v>
      </c>
      <c r="AF56" s="12">
        <v>35</v>
      </c>
      <c r="AG56" s="12">
        <f>SUM(AB56:AF56)</f>
      </c>
      <c r="AH56" s="3"/>
      <c r="AI56" s="3"/>
      <c r="AJ56" s="3"/>
      <c r="AK56" s="3"/>
      <c r="AL56" s="3"/>
      <c r="AO56" s="3" t="s">
        <v>395</v>
      </c>
      <c r="AP56" s="6">
        <f>Q56</f>
      </c>
    </row>
    <row r="57" ht="18" customHeight="1" spans="1:42" x14ac:dyDescent="0.25">
      <c r="A57" s="3" t="s">
        <v>38</v>
      </c>
      <c r="B57" s="3" t="s">
        <v>39</v>
      </c>
      <c r="C57" s="3" t="s">
        <v>40</v>
      </c>
      <c r="D57" s="3" t="s">
        <v>41</v>
      </c>
      <c r="E57" s="3" t="s">
        <v>396</v>
      </c>
      <c r="F57" s="3" t="s">
        <v>397</v>
      </c>
      <c r="G57" s="3" t="s">
        <v>398</v>
      </c>
      <c r="H57" s="3" t="s">
        <v>399</v>
      </c>
      <c r="I57" s="3" t="s">
        <v>358</v>
      </c>
      <c r="J57" s="3" t="s">
        <v>400</v>
      </c>
      <c r="K57" s="5" t="s">
        <v>79</v>
      </c>
      <c r="L57" s="5" t="s">
        <v>67</v>
      </c>
      <c r="M57" s="5" t="s">
        <v>401</v>
      </c>
      <c r="N57" s="3" t="s">
        <v>250</v>
      </c>
      <c r="O57" s="6">
        <v>14166</v>
      </c>
      <c r="P57" s="6">
        <v>15201</v>
      </c>
      <c r="Q57" s="6">
        <f>P57-O57</f>
      </c>
      <c r="R57" s="7">
        <v>1000</v>
      </c>
      <c r="S57" s="6">
        <f>IF(Q57-R57&lt;0,"0",Q57-R57)</f>
      </c>
      <c r="T57" s="6">
        <v>0</v>
      </c>
      <c r="U57" s="8">
        <v>46164.04166666667</v>
      </c>
      <c r="V57" s="8">
        <v>46164.820810185185</v>
      </c>
      <c r="W57" s="9">
        <f>V57-U57</f>
      </c>
      <c r="X57" s="10">
        <v>1.0416666666666667</v>
      </c>
      <c r="Y57" s="9">
        <f>IF(W57-X57&lt;0,"00:00:00",W57-X57)</f>
      </c>
      <c r="Z57" s="11">
        <v>145</v>
      </c>
      <c r="AA57" s="11">
        <v>6.9</v>
      </c>
      <c r="AB57" s="12">
        <f>Y57*Z57*24</f>
      </c>
      <c r="AC57" s="12">
        <f>S57*AA57</f>
      </c>
      <c r="AD57" s="12">
        <f>T57*AA57</f>
      </c>
      <c r="AE57" s="11">
        <v>6900</v>
      </c>
      <c r="AF57" s="12">
        <v>189.71</v>
      </c>
      <c r="AG57" s="12">
        <f>SUM(AB57:AF57)</f>
      </c>
      <c r="AH57" s="3"/>
      <c r="AI57" s="3"/>
      <c r="AJ57" s="3"/>
      <c r="AK57" s="3"/>
      <c r="AL57" s="3"/>
      <c r="AO57" s="3" t="s">
        <v>402</v>
      </c>
      <c r="AP57" s="6">
        <f>Q57</f>
      </c>
    </row>
    <row r="58" ht="18" customHeight="1" spans="1:42" x14ac:dyDescent="0.25">
      <c r="A58" s="3" t="s">
        <v>38</v>
      </c>
      <c r="B58" s="3" t="s">
        <v>39</v>
      </c>
      <c r="C58" s="3" t="s">
        <v>40</v>
      </c>
      <c r="D58" s="3" t="s">
        <v>117</v>
      </c>
      <c r="E58" s="3" t="s">
        <v>60</v>
      </c>
      <c r="F58" s="3" t="s">
        <v>403</v>
      </c>
      <c r="G58" s="3" t="s">
        <v>404</v>
      </c>
      <c r="H58" s="3" t="s">
        <v>405</v>
      </c>
      <c r="I58" s="3" t="s">
        <v>113</v>
      </c>
      <c r="J58" s="3" t="s">
        <v>406</v>
      </c>
      <c r="K58" s="5" t="s">
        <v>79</v>
      </c>
      <c r="L58" s="5" t="s">
        <v>67</v>
      </c>
      <c r="M58" s="5" t="s">
        <v>68</v>
      </c>
      <c r="N58" s="4" t="s">
        <v>47</v>
      </c>
      <c r="O58" s="6">
        <v>0</v>
      </c>
      <c r="P58" s="6">
        <v>0</v>
      </c>
      <c r="Q58" s="6">
        <v>0</v>
      </c>
      <c r="R58" s="7">
        <v>200</v>
      </c>
      <c r="S58" s="6">
        <f>IF(Q58-R58&lt;0,"0",Q58-R58)</f>
      </c>
      <c r="T58" s="6">
        <v>0</v>
      </c>
      <c r="U58" s="8">
        <v>46164.04166666667</v>
      </c>
      <c r="V58" s="8">
        <v>46164.04166666667</v>
      </c>
      <c r="W58" s="9">
        <f>V58-U58</f>
      </c>
      <c r="X58" s="10">
        <v>0.25</v>
      </c>
      <c r="Y58" s="9">
        <f>IF(W58-X58&lt;0,"00:00:00",W58-X58)</f>
      </c>
      <c r="Z58" s="11">
        <v>145</v>
      </c>
      <c r="AA58" s="11">
        <v>0</v>
      </c>
      <c r="AB58" s="12">
        <f>Y58*Z58*24</f>
      </c>
      <c r="AC58" s="12">
        <f>S58*AA58</f>
      </c>
      <c r="AD58" s="12">
        <f>T58*AA58</f>
      </c>
      <c r="AE58" s="11">
        <v>690</v>
      </c>
      <c r="AF58" s="12">
        <v>0</v>
      </c>
      <c r="AG58" s="12">
        <f>SUM(AB58:AF58)</f>
      </c>
      <c r="AH58" s="3"/>
      <c r="AI58" s="3"/>
      <c r="AJ58" s="3"/>
      <c r="AK58" s="3"/>
      <c r="AL58" s="3"/>
      <c r="AO58" s="3" t="s">
        <v>80</v>
      </c>
      <c r="AP58" s="6">
        <f>Q58</f>
      </c>
    </row>
    <row r="59" ht="18" customHeight="1" spans="1:42" x14ac:dyDescent="0.25">
      <c r="A59" s="3" t="s">
        <v>38</v>
      </c>
      <c r="B59" s="3" t="s">
        <v>39</v>
      </c>
      <c r="C59" s="3" t="s">
        <v>40</v>
      </c>
      <c r="D59" s="3" t="s">
        <v>41</v>
      </c>
      <c r="E59" s="3" t="s">
        <v>123</v>
      </c>
      <c r="F59" s="3" t="s">
        <v>407</v>
      </c>
      <c r="G59" s="3" t="s">
        <v>408</v>
      </c>
      <c r="H59" s="3" t="s">
        <v>409</v>
      </c>
      <c r="I59" s="3" t="s">
        <v>234</v>
      </c>
      <c r="J59" s="3" t="s">
        <v>410</v>
      </c>
      <c r="K59" s="5" t="s">
        <v>79</v>
      </c>
      <c r="L59" s="5" t="s">
        <v>67</v>
      </c>
      <c r="M59" s="5" t="s">
        <v>236</v>
      </c>
      <c r="N59" s="3" t="s">
        <v>67</v>
      </c>
      <c r="O59" s="6">
        <v>65568</v>
      </c>
      <c r="P59" s="6">
        <v>65636</v>
      </c>
      <c r="Q59" s="6">
        <f>P59-O59</f>
      </c>
      <c r="R59" s="7">
        <v>100</v>
      </c>
      <c r="S59" s="6">
        <f>IF(Q59-R59&lt;0,"0",Q59-R59)</f>
      </c>
      <c r="T59" s="6">
        <v>0</v>
      </c>
      <c r="U59" s="8">
        <v>46164.20833333333</v>
      </c>
      <c r="V59" s="8">
        <v>46164.532222222224</v>
      </c>
      <c r="W59" s="9">
        <f>V59-U59</f>
      </c>
      <c r="X59" s="10">
        <v>0.125</v>
      </c>
      <c r="Y59" s="9">
        <f>IF(W59-X59&lt;0,"00:00:00",W59-X59)</f>
      </c>
      <c r="Z59" s="11">
        <v>145</v>
      </c>
      <c r="AA59" s="11">
        <v>6.9</v>
      </c>
      <c r="AB59" s="12">
        <f>Y59*Z59*24</f>
      </c>
      <c r="AC59" s="12">
        <f>S59*AA59</f>
      </c>
      <c r="AD59" s="12">
        <f>T59*AA59</f>
      </c>
      <c r="AE59" s="11">
        <v>690</v>
      </c>
      <c r="AF59" s="12">
        <v>5.9</v>
      </c>
      <c r="AG59" s="12">
        <f>SUM(AB59:AF59)</f>
      </c>
      <c r="AH59" s="3"/>
      <c r="AI59" s="3"/>
      <c r="AJ59" s="3"/>
      <c r="AK59" s="3"/>
      <c r="AL59" s="3"/>
      <c r="AO59" s="3" t="s">
        <v>59</v>
      </c>
      <c r="AP59" s="6">
        <f>Q59</f>
      </c>
    </row>
    <row r="60" ht="18" customHeight="1" spans="1:42" x14ac:dyDescent="0.25">
      <c r="A60" s="3" t="s">
        <v>38</v>
      </c>
      <c r="B60" s="3" t="s">
        <v>39</v>
      </c>
      <c r="C60" s="3" t="s">
        <v>40</v>
      </c>
      <c r="D60" s="3" t="s">
        <v>41</v>
      </c>
      <c r="E60" s="3" t="s">
        <v>101</v>
      </c>
      <c r="F60" s="3" t="s">
        <v>411</v>
      </c>
      <c r="G60" s="3" t="s">
        <v>412</v>
      </c>
      <c r="H60" s="3" t="s">
        <v>413</v>
      </c>
      <c r="I60" s="3" t="s">
        <v>414</v>
      </c>
      <c r="J60" s="3" t="s">
        <v>415</v>
      </c>
      <c r="K60" s="5" t="s">
        <v>416</v>
      </c>
      <c r="L60" s="5" t="s">
        <v>108</v>
      </c>
      <c r="M60" s="5" t="s">
        <v>417</v>
      </c>
      <c r="N60" s="3" t="s">
        <v>108</v>
      </c>
      <c r="O60" s="6">
        <v>213906</v>
      </c>
      <c r="P60" s="6">
        <v>213939</v>
      </c>
      <c r="Q60" s="6">
        <f>P60-O60</f>
      </c>
      <c r="R60" s="7">
        <v>100</v>
      </c>
      <c r="S60" s="6">
        <f>IF(Q60-R60&lt;0,"0",Q60-R60)</f>
      </c>
      <c r="T60" s="6">
        <v>0</v>
      </c>
      <c r="U60" s="8">
        <v>46164.29166666667</v>
      </c>
      <c r="V60" s="8">
        <v>46164.374085648145</v>
      </c>
      <c r="W60" s="9">
        <f>V60-U60</f>
      </c>
      <c r="X60" s="10">
        <v>0.125</v>
      </c>
      <c r="Y60" s="9">
        <f>IF(W60-X60&lt;0,"00:00:00",W60-X60)</f>
      </c>
      <c r="Z60" s="11">
        <v>145</v>
      </c>
      <c r="AA60" s="11">
        <v>7.35</v>
      </c>
      <c r="AB60" s="12">
        <f>Y60*Z60*24</f>
      </c>
      <c r="AC60" s="12">
        <f>S60*AA60</f>
      </c>
      <c r="AD60" s="12">
        <f>T60*AA60</f>
      </c>
      <c r="AE60" s="11">
        <v>735</v>
      </c>
      <c r="AF60" s="12">
        <v>0</v>
      </c>
      <c r="AG60" s="12">
        <f>SUM(AB60:AF60)</f>
      </c>
      <c r="AH60" s="3"/>
      <c r="AI60" s="3"/>
      <c r="AJ60" s="3"/>
      <c r="AK60" s="3"/>
      <c r="AL60" s="3"/>
      <c r="AO60" s="3" t="s">
        <v>50</v>
      </c>
      <c r="AP60" s="6">
        <f>Q60</f>
      </c>
    </row>
    <row r="61" ht="18" customHeight="1" spans="1:42" x14ac:dyDescent="0.25">
      <c r="A61" s="3" t="s">
        <v>38</v>
      </c>
      <c r="B61" s="3" t="s">
        <v>39</v>
      </c>
      <c r="C61" s="3" t="s">
        <v>40</v>
      </c>
      <c r="D61" s="3" t="s">
        <v>41</v>
      </c>
      <c r="E61" s="3" t="s">
        <v>101</v>
      </c>
      <c r="F61" s="3" t="s">
        <v>418</v>
      </c>
      <c r="G61" s="3" t="s">
        <v>419</v>
      </c>
      <c r="H61" s="3" t="s">
        <v>420</v>
      </c>
      <c r="I61" s="3" t="s">
        <v>421</v>
      </c>
      <c r="J61" s="3" t="s">
        <v>422</v>
      </c>
      <c r="K61" s="5" t="s">
        <v>416</v>
      </c>
      <c r="L61" s="5" t="s">
        <v>108</v>
      </c>
      <c r="M61" s="5" t="s">
        <v>423</v>
      </c>
      <c r="N61" s="4" t="s">
        <v>47</v>
      </c>
      <c r="O61" s="6">
        <v>280268</v>
      </c>
      <c r="P61" s="6">
        <v>280307</v>
      </c>
      <c r="Q61" s="6">
        <f>P61-O61</f>
      </c>
      <c r="R61" s="7">
        <v>100</v>
      </c>
      <c r="S61" s="6">
        <f>IF(Q61-R61&lt;0,"0",Q61-R61)</f>
      </c>
      <c r="T61" s="6">
        <v>0</v>
      </c>
      <c r="U61" s="8">
        <v>46164.25</v>
      </c>
      <c r="V61" s="8">
        <v>46164.414722222224</v>
      </c>
      <c r="W61" s="9">
        <f>V61-U61</f>
      </c>
      <c r="X61" s="10">
        <v>0.125</v>
      </c>
      <c r="Y61" s="9">
        <f>IF(W61-X61&lt;0,"00:00:00",W61-X61)</f>
      </c>
      <c r="Z61" s="11">
        <v>145</v>
      </c>
      <c r="AA61" s="11">
        <v>0</v>
      </c>
      <c r="AB61" s="12">
        <f>Y61*Z61*24</f>
      </c>
      <c r="AC61" s="12">
        <f>S61*AA61</f>
      </c>
      <c r="AD61" s="12">
        <f>T61*AA61</f>
      </c>
      <c r="AE61" s="11">
        <v>735</v>
      </c>
      <c r="AF61" s="12">
        <v>0</v>
      </c>
      <c r="AG61" s="12">
        <f>SUM(AB61:AF61)</f>
      </c>
      <c r="AH61" s="3"/>
      <c r="AI61" s="3"/>
      <c r="AJ61" s="3"/>
      <c r="AK61" s="3"/>
      <c r="AL61" s="3"/>
      <c r="AO61" s="3" t="s">
        <v>242</v>
      </c>
      <c r="AP61" s="6">
        <f>Q61</f>
      </c>
    </row>
    <row r="62" ht="18" customHeight="1" spans="1:42" x14ac:dyDescent="0.25">
      <c r="A62" s="3" t="s">
        <v>38</v>
      </c>
      <c r="B62" s="3" t="s">
        <v>39</v>
      </c>
      <c r="C62" s="3" t="s">
        <v>40</v>
      </c>
      <c r="D62" s="3" t="s">
        <v>41</v>
      </c>
      <c r="E62" s="3" t="s">
        <v>424</v>
      </c>
      <c r="F62" s="3" t="s">
        <v>425</v>
      </c>
      <c r="G62" s="3" t="s">
        <v>426</v>
      </c>
      <c r="H62" s="3" t="s">
        <v>427</v>
      </c>
      <c r="I62" s="3" t="s">
        <v>428</v>
      </c>
      <c r="J62" s="3" t="s">
        <v>429</v>
      </c>
      <c r="K62" s="5" t="s">
        <v>169</v>
      </c>
      <c r="L62" s="5" t="s">
        <v>67</v>
      </c>
      <c r="M62" s="5" t="s">
        <v>430</v>
      </c>
      <c r="N62" s="3" t="s">
        <v>108</v>
      </c>
      <c r="O62" s="6">
        <v>10096</v>
      </c>
      <c r="P62" s="6">
        <v>11332</v>
      </c>
      <c r="Q62" s="6">
        <f>P62-O62</f>
      </c>
      <c r="R62" s="7">
        <v>1200</v>
      </c>
      <c r="S62" s="6">
        <f>IF(Q62-R62&lt;0,"0",Q62-R62)</f>
      </c>
      <c r="T62" s="6">
        <v>0</v>
      </c>
      <c r="U62" s="8">
        <v>46164.53472222222</v>
      </c>
      <c r="V62" s="8">
        <v>46167.43806712963</v>
      </c>
      <c r="W62" s="9">
        <f>V62-U62</f>
      </c>
      <c r="X62" s="10">
        <v>1.25</v>
      </c>
      <c r="Y62" s="9">
        <f>IF(W62-X62&lt;0,"00:00:00",W62-X62)</f>
      </c>
      <c r="Z62" s="11">
        <v>145</v>
      </c>
      <c r="AA62" s="11">
        <v>6.9</v>
      </c>
      <c r="AB62" s="12">
        <f>Y62*Z62*24</f>
      </c>
      <c r="AC62" s="12">
        <f>S62*AA62</f>
      </c>
      <c r="AD62" s="12">
        <f>T62*AA62</f>
      </c>
      <c r="AE62" s="11">
        <v>8280</v>
      </c>
      <c r="AF62" s="12">
        <v>160.9</v>
      </c>
      <c r="AG62" s="12">
        <f>SUM(AB62:AF62)</f>
      </c>
      <c r="AH62" s="3"/>
      <c r="AI62" s="3"/>
      <c r="AJ62" s="3"/>
      <c r="AK62" s="3"/>
      <c r="AL62" s="3"/>
      <c r="AO62" s="3" t="s">
        <v>431</v>
      </c>
      <c r="AP62" s="6">
        <f>Q62</f>
      </c>
    </row>
    <row r="63" ht="18" customHeight="1" spans="1:42" x14ac:dyDescent="0.25">
      <c r="A63" s="3" t="s">
        <v>38</v>
      </c>
      <c r="B63" s="3" t="s">
        <v>39</v>
      </c>
      <c r="C63" s="3" t="s">
        <v>40</v>
      </c>
      <c r="D63" s="3" t="s">
        <v>41</v>
      </c>
      <c r="E63" s="3" t="s">
        <v>101</v>
      </c>
      <c r="F63" s="3" t="s">
        <v>432</v>
      </c>
      <c r="G63" s="3" t="s">
        <v>433</v>
      </c>
      <c r="H63" s="3" t="s">
        <v>434</v>
      </c>
      <c r="I63" s="3" t="s">
        <v>435</v>
      </c>
      <c r="J63" s="3" t="s">
        <v>422</v>
      </c>
      <c r="K63" s="5" t="s">
        <v>436</v>
      </c>
      <c r="L63" s="5" t="s">
        <v>108</v>
      </c>
      <c r="M63" s="5" t="s">
        <v>327</v>
      </c>
      <c r="N63" s="3" t="s">
        <v>108</v>
      </c>
      <c r="O63" s="6">
        <v>264917</v>
      </c>
      <c r="P63" s="6">
        <v>264940</v>
      </c>
      <c r="Q63" s="6">
        <f>P63-O63</f>
      </c>
      <c r="R63" s="7">
        <v>100</v>
      </c>
      <c r="S63" s="6">
        <f>IF(Q63-R63&lt;0,"0",Q63-R63)</f>
      </c>
      <c r="T63" s="6">
        <v>0</v>
      </c>
      <c r="U63" s="8">
        <v>46164.5625</v>
      </c>
      <c r="V63" s="8">
        <v>46164.73364583333</v>
      </c>
      <c r="W63" s="9">
        <f>V63-U63</f>
      </c>
      <c r="X63" s="10">
        <v>0.125</v>
      </c>
      <c r="Y63" s="9">
        <f>IF(W63-X63&lt;0,"00:00:00",W63-X63)</f>
      </c>
      <c r="Z63" s="11">
        <v>145</v>
      </c>
      <c r="AA63" s="11">
        <v>7.35</v>
      </c>
      <c r="AB63" s="12">
        <f>Y63*Z63*24</f>
      </c>
      <c r="AC63" s="12">
        <f>S63*AA63</f>
      </c>
      <c r="AD63" s="12">
        <f>T63*AA63</f>
      </c>
      <c r="AE63" s="11">
        <v>735</v>
      </c>
      <c r="AF63" s="12">
        <v>0</v>
      </c>
      <c r="AG63" s="12">
        <f>SUM(AB63:AF63)</f>
      </c>
      <c r="AH63" s="3"/>
      <c r="AI63" s="3"/>
      <c r="AJ63" s="3"/>
      <c r="AK63" s="3"/>
      <c r="AL63" s="3"/>
      <c r="AO63" s="3" t="s">
        <v>50</v>
      </c>
      <c r="AP63" s="6">
        <f>Q63</f>
      </c>
    </row>
    <row r="64" ht="18" customHeight="1" spans="1:42" x14ac:dyDescent="0.25">
      <c r="A64" s="3" t="s">
        <v>38</v>
      </c>
      <c r="B64" s="3" t="s">
        <v>39</v>
      </c>
      <c r="C64" s="3" t="s">
        <v>40</v>
      </c>
      <c r="D64" s="3" t="s">
        <v>41</v>
      </c>
      <c r="E64" s="3" t="s">
        <v>101</v>
      </c>
      <c r="F64" s="3" t="s">
        <v>437</v>
      </c>
      <c r="G64" s="3" t="s">
        <v>433</v>
      </c>
      <c r="H64" s="3" t="s">
        <v>438</v>
      </c>
      <c r="I64" s="3" t="s">
        <v>414</v>
      </c>
      <c r="J64" s="3" t="s">
        <v>422</v>
      </c>
      <c r="K64" s="5" t="s">
        <v>436</v>
      </c>
      <c r="L64" s="5" t="s">
        <v>108</v>
      </c>
      <c r="M64" s="5" t="s">
        <v>327</v>
      </c>
      <c r="N64" s="3" t="s">
        <v>108</v>
      </c>
      <c r="O64" s="6">
        <v>213994</v>
      </c>
      <c r="P64" s="6">
        <v>214018</v>
      </c>
      <c r="Q64" s="6">
        <f>P64-O64</f>
      </c>
      <c r="R64" s="7">
        <v>100</v>
      </c>
      <c r="S64" s="6">
        <f>IF(Q64-R64&lt;0,"0",Q64-R64)</f>
      </c>
      <c r="T64" s="6">
        <v>0</v>
      </c>
      <c r="U64" s="8">
        <v>46164.5625</v>
      </c>
      <c r="V64" s="8">
        <v>46164.734560185185</v>
      </c>
      <c r="W64" s="9">
        <f>V64-U64</f>
      </c>
      <c r="X64" s="10">
        <v>0.125</v>
      </c>
      <c r="Y64" s="9">
        <f>IF(W64-X64&lt;0,"00:00:00",W64-X64)</f>
      </c>
      <c r="Z64" s="11">
        <v>145</v>
      </c>
      <c r="AA64" s="11">
        <v>7.35</v>
      </c>
      <c r="AB64" s="12">
        <f>Y64*Z64*24</f>
      </c>
      <c r="AC64" s="12">
        <f>S64*AA64</f>
      </c>
      <c r="AD64" s="12">
        <f>T64*AA64</f>
      </c>
      <c r="AE64" s="11">
        <v>735</v>
      </c>
      <c r="AF64" s="12">
        <v>0</v>
      </c>
      <c r="AG64" s="12">
        <f>SUM(AB64:AF64)</f>
      </c>
      <c r="AH64" s="3"/>
      <c r="AI64" s="3"/>
      <c r="AJ64" s="3"/>
      <c r="AK64" s="3"/>
      <c r="AL64" s="3"/>
      <c r="AO64" s="3" t="s">
        <v>50</v>
      </c>
      <c r="AP64" s="6">
        <f>Q64</f>
      </c>
    </row>
    <row r="65" ht="18" customHeight="1" spans="1:42" x14ac:dyDescent="0.25">
      <c r="A65" s="3" t="s">
        <v>38</v>
      </c>
      <c r="B65" s="3" t="s">
        <v>39</v>
      </c>
      <c r="C65" s="3" t="s">
        <v>40</v>
      </c>
      <c r="D65" s="3" t="s">
        <v>41</v>
      </c>
      <c r="E65" s="3" t="s">
        <v>424</v>
      </c>
      <c r="F65" s="3" t="s">
        <v>439</v>
      </c>
      <c r="G65" s="3" t="s">
        <v>440</v>
      </c>
      <c r="H65" s="3" t="s">
        <v>441</v>
      </c>
      <c r="I65" s="3" t="s">
        <v>442</v>
      </c>
      <c r="J65" s="3" t="s">
        <v>443</v>
      </c>
      <c r="K65" s="5" t="s">
        <v>169</v>
      </c>
      <c r="L65" s="5" t="s">
        <v>67</v>
      </c>
      <c r="M65" s="5" t="s">
        <v>444</v>
      </c>
      <c r="N65" s="3" t="s">
        <v>108</v>
      </c>
      <c r="O65" s="6">
        <v>3295</v>
      </c>
      <c r="P65" s="6">
        <v>4461</v>
      </c>
      <c r="Q65" s="6">
        <f>P65-O65</f>
      </c>
      <c r="R65" s="7">
        <v>1158</v>
      </c>
      <c r="S65" s="6">
        <f>IF(Q65-R65&lt;0,"0",Q65-R65)</f>
      </c>
      <c r="T65" s="6">
        <v>0</v>
      </c>
      <c r="U65" s="8">
        <v>46165.22916666667</v>
      </c>
      <c r="V65" s="8">
        <v>46167.44574074074</v>
      </c>
      <c r="W65" s="9">
        <f>V65-U65</f>
      </c>
      <c r="X65" s="10">
        <v>1</v>
      </c>
      <c r="Y65" s="9">
        <f>IF(W65-X65&lt;0,"00:00:00",W65-X65)</f>
      </c>
      <c r="Z65" s="11">
        <v>145</v>
      </c>
      <c r="AA65" s="11">
        <v>0</v>
      </c>
      <c r="AB65" s="12">
        <f>Y65*Z65*24</f>
      </c>
      <c r="AC65" s="12">
        <f>S65*AA65</f>
      </c>
      <c r="AD65" s="12">
        <f>T65*AA65</f>
      </c>
      <c r="AE65" s="11">
        <v>7990.2</v>
      </c>
      <c r="AF65" s="12">
        <v>138.5</v>
      </c>
      <c r="AG65" s="12">
        <f>SUM(AB65:AF65)</f>
      </c>
      <c r="AH65" s="3"/>
      <c r="AI65" s="3"/>
      <c r="AJ65" s="3"/>
      <c r="AK65" s="3"/>
      <c r="AL65" s="3"/>
      <c r="AO65" s="3" t="s">
        <v>445</v>
      </c>
      <c r="AP65" s="6">
        <f>Q65</f>
      </c>
    </row>
    <row r="66" ht="18" customHeight="1" spans="1:42" x14ac:dyDescent="0.25">
      <c r="A66" s="3" t="s">
        <v>38</v>
      </c>
      <c r="B66" s="3" t="s">
        <v>39</v>
      </c>
      <c r="C66" s="3" t="s">
        <v>40</v>
      </c>
      <c r="D66" s="3" t="s">
        <v>41</v>
      </c>
      <c r="E66" s="3" t="s">
        <v>60</v>
      </c>
      <c r="F66" s="3" t="s">
        <v>446</v>
      </c>
      <c r="G66" s="3" t="s">
        <v>447</v>
      </c>
      <c r="H66" s="3" t="s">
        <v>448</v>
      </c>
      <c r="I66" s="3" t="s">
        <v>272</v>
      </c>
      <c r="J66" s="3" t="s">
        <v>449</v>
      </c>
      <c r="K66" s="5" t="s">
        <v>79</v>
      </c>
      <c r="L66" s="5" t="s">
        <v>67</v>
      </c>
      <c r="M66" s="5" t="s">
        <v>68</v>
      </c>
      <c r="N66" s="4" t="s">
        <v>47</v>
      </c>
      <c r="O66" s="6">
        <v>81074</v>
      </c>
      <c r="P66" s="6">
        <v>81274</v>
      </c>
      <c r="Q66" s="6">
        <v>200</v>
      </c>
      <c r="R66" s="7">
        <v>200</v>
      </c>
      <c r="S66" s="6">
        <f>IF(Q66-R66&lt;0,"0",Q66-R66)</f>
      </c>
      <c r="T66" s="6">
        <v>0</v>
      </c>
      <c r="U66" s="8">
        <v>46164.89583333333</v>
      </c>
      <c r="V66" s="8">
        <v>46165.04206018518</v>
      </c>
      <c r="W66" s="9">
        <f>V66-U66</f>
      </c>
      <c r="X66" s="10">
        <v>0.25</v>
      </c>
      <c r="Y66" s="9">
        <f>IF(W66-X66&lt;0,"00:00:00",W66-X66)</f>
      </c>
      <c r="Z66" s="11">
        <v>145</v>
      </c>
      <c r="AA66" s="11">
        <v>0</v>
      </c>
      <c r="AB66" s="12">
        <f>Y66*Z66*24</f>
      </c>
      <c r="AC66" s="12">
        <f>S66*AA66</f>
      </c>
      <c r="AD66" s="12">
        <f>T66*AA66</f>
      </c>
      <c r="AE66" s="11">
        <v>1380</v>
      </c>
      <c r="AF66" s="12">
        <v>35</v>
      </c>
      <c r="AG66" s="12">
        <f>SUM(AB66:AF66)</f>
      </c>
      <c r="AH66" s="3"/>
      <c r="AI66" s="3"/>
      <c r="AJ66" s="3"/>
      <c r="AK66" s="3"/>
      <c r="AL66" s="3"/>
      <c r="AO66" s="3" t="s">
        <v>80</v>
      </c>
      <c r="AP66" s="6">
        <f>Q66</f>
      </c>
    </row>
    <row r="67" ht="18" customHeight="1" spans="1:42" x14ac:dyDescent="0.25">
      <c r="A67" s="3" t="s">
        <v>38</v>
      </c>
      <c r="B67" s="3" t="s">
        <v>39</v>
      </c>
      <c r="C67" s="3" t="s">
        <v>40</v>
      </c>
      <c r="D67" s="3" t="s">
        <v>41</v>
      </c>
      <c r="E67" s="3" t="s">
        <v>450</v>
      </c>
      <c r="F67" s="3" t="s">
        <v>451</v>
      </c>
      <c r="G67" s="3" t="s">
        <v>452</v>
      </c>
      <c r="H67" s="3" t="s">
        <v>453</v>
      </c>
      <c r="I67" s="3" t="s">
        <v>454</v>
      </c>
      <c r="J67" s="3" t="s">
        <v>455</v>
      </c>
      <c r="K67" s="5" t="s">
        <v>456</v>
      </c>
      <c r="L67" s="5" t="s">
        <v>88</v>
      </c>
      <c r="M67" s="5" t="s">
        <v>99</v>
      </c>
      <c r="N67" s="4" t="s">
        <v>47</v>
      </c>
      <c r="O67" s="6">
        <v>66916</v>
      </c>
      <c r="P67" s="6">
        <v>67216</v>
      </c>
      <c r="Q67" s="6">
        <v>300</v>
      </c>
      <c r="R67" s="7">
        <v>300</v>
      </c>
      <c r="S67" s="6">
        <f>IF(Q67-R67&lt;0,"0",Q67-R67)</f>
      </c>
      <c r="T67" s="6">
        <v>0</v>
      </c>
      <c r="U67" s="8">
        <v>46164.97916666667</v>
      </c>
      <c r="V67" s="8">
        <v>46165.20008101852</v>
      </c>
      <c r="W67" s="9">
        <f>V67-U67</f>
      </c>
      <c r="X67" s="10">
        <v>0.2916666666666667</v>
      </c>
      <c r="Y67" s="9">
        <f>IF(W67-X67&lt;0,"00:00:00",W67-X67)</f>
      </c>
      <c r="Z67" s="11">
        <v>145</v>
      </c>
      <c r="AA67" s="11">
        <v>0</v>
      </c>
      <c r="AB67" s="12">
        <f>Y67*Z67*24</f>
      </c>
      <c r="AC67" s="12">
        <f>S67*AA67</f>
      </c>
      <c r="AD67" s="12">
        <f>T67*AA67</f>
      </c>
      <c r="AE67" s="11">
        <v>2070</v>
      </c>
      <c r="AF67" s="12">
        <v>55</v>
      </c>
      <c r="AG67" s="12">
        <f>SUM(AB67:AF67)</f>
      </c>
      <c r="AH67" s="3"/>
      <c r="AI67" s="3"/>
      <c r="AJ67" s="3"/>
      <c r="AK67" s="3"/>
      <c r="AL67" s="3"/>
      <c r="AO67" s="3" t="s">
        <v>457</v>
      </c>
      <c r="AP67" s="6">
        <f>Q67</f>
      </c>
    </row>
    <row r="68" ht="18" customHeight="1" spans="1:42" x14ac:dyDescent="0.25">
      <c r="A68" s="3" t="s">
        <v>38</v>
      </c>
      <c r="B68" s="3" t="s">
        <v>39</v>
      </c>
      <c r="C68" s="3" t="s">
        <v>40</v>
      </c>
      <c r="D68" s="3" t="s">
        <v>41</v>
      </c>
      <c r="E68" s="3" t="s">
        <v>389</v>
      </c>
      <c r="F68" s="3" t="s">
        <v>458</v>
      </c>
      <c r="G68" s="3" t="s">
        <v>459</v>
      </c>
      <c r="H68" s="3" t="s">
        <v>460</v>
      </c>
      <c r="I68" s="3" t="s">
        <v>461</v>
      </c>
      <c r="J68" s="3" t="s">
        <v>462</v>
      </c>
      <c r="K68" s="5" t="s">
        <v>456</v>
      </c>
      <c r="L68" s="5" t="s">
        <v>88</v>
      </c>
      <c r="M68" s="5" t="s">
        <v>68</v>
      </c>
      <c r="N68" s="4" t="s">
        <v>47</v>
      </c>
      <c r="O68" s="6">
        <v>64404</v>
      </c>
      <c r="P68" s="6">
        <v>64604</v>
      </c>
      <c r="Q68" s="6">
        <v>200</v>
      </c>
      <c r="R68" s="7">
        <v>200</v>
      </c>
      <c r="S68" s="6">
        <f>IF(Q68-R68&lt;0,"0",Q68-R68)</f>
      </c>
      <c r="T68" s="6">
        <v>0</v>
      </c>
      <c r="U68" s="8">
        <v>46164.95833333333</v>
      </c>
      <c r="V68" s="8">
        <v>46165.153819444444</v>
      </c>
      <c r="W68" s="9">
        <f>V68-U68</f>
      </c>
      <c r="X68" s="10">
        <v>0.20833333333333334</v>
      </c>
      <c r="Y68" s="9">
        <f>IF(W68-X68&lt;0,"00:00:00",W68-X68)</f>
      </c>
      <c r="Z68" s="11">
        <v>145</v>
      </c>
      <c r="AA68" s="11">
        <v>0</v>
      </c>
      <c r="AB68" s="12">
        <f>Y68*Z68*24</f>
      </c>
      <c r="AC68" s="12">
        <f>S68*AA68</f>
      </c>
      <c r="AD68" s="12">
        <f>T68*AA68</f>
      </c>
      <c r="AE68" s="11">
        <v>1380</v>
      </c>
      <c r="AF68" s="12">
        <v>35</v>
      </c>
      <c r="AG68" s="12">
        <f>SUM(AB68:AF68)</f>
      </c>
      <c r="AH68" s="3"/>
      <c r="AI68" s="3"/>
      <c r="AJ68" s="3"/>
      <c r="AK68" s="3"/>
      <c r="AL68" s="3"/>
      <c r="AO68" s="3" t="s">
        <v>395</v>
      </c>
      <c r="AP68" s="6">
        <f>Q68</f>
      </c>
    </row>
    <row r="69" ht="18" customHeight="1" spans="1:42" x14ac:dyDescent="0.25">
      <c r="A69" s="3" t="s">
        <v>38</v>
      </c>
      <c r="B69" s="3" t="s">
        <v>39</v>
      </c>
      <c r="C69" s="3" t="s">
        <v>40</v>
      </c>
      <c r="D69" s="3" t="s">
        <v>41</v>
      </c>
      <c r="E69" s="3" t="s">
        <v>361</v>
      </c>
      <c r="F69" s="3" t="s">
        <v>463</v>
      </c>
      <c r="G69" s="3" t="s">
        <v>464</v>
      </c>
      <c r="H69" s="3" t="s">
        <v>465</v>
      </c>
      <c r="I69" s="3" t="s">
        <v>466</v>
      </c>
      <c r="J69" s="3" t="s">
        <v>467</v>
      </c>
      <c r="K69" s="5" t="s">
        <v>468</v>
      </c>
      <c r="L69" s="5" t="s">
        <v>122</v>
      </c>
      <c r="M69" s="5" t="s">
        <v>68</v>
      </c>
      <c r="N69" s="4" t="s">
        <v>47</v>
      </c>
      <c r="O69" s="6">
        <v>13399</v>
      </c>
      <c r="P69" s="6">
        <v>13599</v>
      </c>
      <c r="Q69" s="6">
        <f>P69-O69</f>
      </c>
      <c r="R69" s="7">
        <v>200</v>
      </c>
      <c r="S69" s="6">
        <f>IF(Q69-R69&lt;0,"0",Q69-R69)</f>
      </c>
      <c r="T69" s="6">
        <v>0</v>
      </c>
      <c r="U69" s="8">
        <v>46164.97916666667</v>
      </c>
      <c r="V69" s="8">
        <v>46165.50074074074</v>
      </c>
      <c r="W69" s="9">
        <f>V69-U69</f>
      </c>
      <c r="X69" s="10">
        <v>0.20833333333333334</v>
      </c>
      <c r="Y69" s="9">
        <f>IF(W69-X69&lt;0,"00:00:00",W69-X69)</f>
      </c>
      <c r="Z69" s="11">
        <v>145</v>
      </c>
      <c r="AA69" s="11">
        <v>6.9</v>
      </c>
      <c r="AB69" s="12">
        <f>Y69*Z69*24</f>
      </c>
      <c r="AC69" s="12">
        <f>S69*AA69</f>
      </c>
      <c r="AD69" s="12">
        <f>T69*AA69</f>
      </c>
      <c r="AE69" s="11">
        <v>1380</v>
      </c>
      <c r="AF69" s="12">
        <v>35</v>
      </c>
      <c r="AG69" s="12">
        <f>SUM(AB69:AF69)</f>
      </c>
      <c r="AH69" s="3"/>
      <c r="AI69" s="3"/>
      <c r="AJ69" s="3"/>
      <c r="AK69" s="3"/>
      <c r="AL69" s="3"/>
      <c r="AO69" s="3" t="s">
        <v>469</v>
      </c>
      <c r="AP69" s="6">
        <f>Q69</f>
      </c>
    </row>
    <row r="70" ht="18" customHeight="1" spans="1:42" x14ac:dyDescent="0.25">
      <c r="A70" s="3" t="s">
        <v>38</v>
      </c>
      <c r="B70" s="3" t="s">
        <v>39</v>
      </c>
      <c r="C70" s="3" t="s">
        <v>40</v>
      </c>
      <c r="D70" s="3" t="s">
        <v>41</v>
      </c>
      <c r="E70" s="3" t="s">
        <v>60</v>
      </c>
      <c r="F70" s="3" t="s">
        <v>470</v>
      </c>
      <c r="G70" s="3" t="s">
        <v>471</v>
      </c>
      <c r="H70" s="3" t="s">
        <v>472</v>
      </c>
      <c r="I70" s="3" t="s">
        <v>473</v>
      </c>
      <c r="J70" s="4" t="s">
        <v>47</v>
      </c>
      <c r="K70" s="5" t="s">
        <v>66</v>
      </c>
      <c r="L70" s="5" t="s">
        <v>67</v>
      </c>
      <c r="M70" s="5" t="s">
        <v>68</v>
      </c>
      <c r="N70" s="4" t="s">
        <v>47</v>
      </c>
      <c r="O70" s="6">
        <v>345411</v>
      </c>
      <c r="P70" s="6">
        <v>345611</v>
      </c>
      <c r="Q70" s="6">
        <v>200</v>
      </c>
      <c r="R70" s="7">
        <v>200</v>
      </c>
      <c r="S70" s="6">
        <f>IF(Q70-R70&lt;0,"0",Q70-R70)</f>
      </c>
      <c r="T70" s="6">
        <v>0</v>
      </c>
      <c r="U70" s="8">
        <v>46165.04166666667</v>
      </c>
      <c r="V70" s="8">
        <v>46165.157314814816</v>
      </c>
      <c r="W70" s="9">
        <f>V70-U70</f>
      </c>
      <c r="X70" s="10">
        <v>0.25</v>
      </c>
      <c r="Y70" s="9">
        <f>IF(W70-X70&lt;0,"00:00:00",W70-X70)</f>
      </c>
      <c r="Z70" s="11">
        <v>145</v>
      </c>
      <c r="AA70" s="11">
        <v>0</v>
      </c>
      <c r="AB70" s="12">
        <f>Y70*Z70*24</f>
      </c>
      <c r="AC70" s="12">
        <f>S70*AA70</f>
      </c>
      <c r="AD70" s="12">
        <f>T70*AA70</f>
      </c>
      <c r="AE70" s="11">
        <v>1380</v>
      </c>
      <c r="AF70" s="12">
        <v>35</v>
      </c>
      <c r="AG70" s="12">
        <f>SUM(AB70:AF70)</f>
      </c>
      <c r="AH70" s="3"/>
      <c r="AI70" s="3"/>
      <c r="AJ70" s="3"/>
      <c r="AK70" s="3"/>
      <c r="AL70" s="3"/>
      <c r="AO70" s="3" t="s">
        <v>80</v>
      </c>
      <c r="AP70" s="6">
        <f>Q70</f>
      </c>
    </row>
    <row r="71" ht="18" customHeight="1" spans="1:42" x14ac:dyDescent="0.25">
      <c r="A71" s="3" t="s">
        <v>38</v>
      </c>
      <c r="B71" s="3" t="s">
        <v>39</v>
      </c>
      <c r="C71" s="3" t="s">
        <v>40</v>
      </c>
      <c r="D71" s="3" t="s">
        <v>41</v>
      </c>
      <c r="E71" s="3" t="s">
        <v>60</v>
      </c>
      <c r="F71" s="3" t="s">
        <v>474</v>
      </c>
      <c r="G71" s="3" t="s">
        <v>475</v>
      </c>
      <c r="H71" s="3" t="s">
        <v>476</v>
      </c>
      <c r="I71" s="3" t="s">
        <v>358</v>
      </c>
      <c r="J71" s="3" t="s">
        <v>477</v>
      </c>
      <c r="K71" s="5" t="s">
        <v>66</v>
      </c>
      <c r="L71" s="5" t="s">
        <v>67</v>
      </c>
      <c r="M71" s="5" t="s">
        <v>68</v>
      </c>
      <c r="N71" s="4" t="s">
        <v>47</v>
      </c>
      <c r="O71" s="6">
        <v>16235</v>
      </c>
      <c r="P71" s="6">
        <v>16435</v>
      </c>
      <c r="Q71" s="6">
        <v>200</v>
      </c>
      <c r="R71" s="7">
        <v>200</v>
      </c>
      <c r="S71" s="6">
        <f>IF(Q71-R71&lt;0,"0",Q71-R71)</f>
      </c>
      <c r="T71" s="6">
        <v>0</v>
      </c>
      <c r="U71" s="8">
        <v>46166.41666666667</v>
      </c>
      <c r="V71" s="8">
        <v>46166.547800925924</v>
      </c>
      <c r="W71" s="9">
        <f>V71-U71</f>
      </c>
      <c r="X71" s="10">
        <v>0.25</v>
      </c>
      <c r="Y71" s="9">
        <f>IF(W71-X71&lt;0,"00:00:00",W71-X71)</f>
      </c>
      <c r="Z71" s="11">
        <v>145</v>
      </c>
      <c r="AA71" s="11">
        <v>0</v>
      </c>
      <c r="AB71" s="12">
        <f>Y71*Z71*24</f>
      </c>
      <c r="AC71" s="12">
        <f>S71*AA71</f>
      </c>
      <c r="AD71" s="12">
        <f>T71*AA71</f>
      </c>
      <c r="AE71" s="11">
        <v>1380</v>
      </c>
      <c r="AF71" s="12">
        <v>35</v>
      </c>
      <c r="AG71" s="12">
        <f>SUM(AB71:AF71)</f>
      </c>
      <c r="AH71" s="3"/>
      <c r="AI71" s="3"/>
      <c r="AJ71" s="3"/>
      <c r="AK71" s="3"/>
      <c r="AL71" s="3"/>
      <c r="AO71" s="3" t="s">
        <v>80</v>
      </c>
      <c r="AP71" s="6">
        <f>Q71</f>
      </c>
    </row>
    <row r="72" ht="18" customHeight="1" spans="1:42" x14ac:dyDescent="0.25">
      <c r="A72" s="3" t="s">
        <v>38</v>
      </c>
      <c r="B72" s="3" t="s">
        <v>39</v>
      </c>
      <c r="C72" s="3" t="s">
        <v>40</v>
      </c>
      <c r="D72" s="3" t="s">
        <v>41</v>
      </c>
      <c r="E72" s="3" t="s">
        <v>478</v>
      </c>
      <c r="F72" s="3" t="s">
        <v>479</v>
      </c>
      <c r="G72" s="3" t="s">
        <v>480</v>
      </c>
      <c r="H72" s="3" t="s">
        <v>481</v>
      </c>
      <c r="I72" s="3" t="s">
        <v>482</v>
      </c>
      <c r="J72" s="3" t="s">
        <v>483</v>
      </c>
      <c r="K72" s="5" t="s">
        <v>484</v>
      </c>
      <c r="L72" s="5" t="s">
        <v>122</v>
      </c>
      <c r="M72" s="5" t="s">
        <v>468</v>
      </c>
      <c r="N72" s="3" t="s">
        <v>122</v>
      </c>
      <c r="O72" s="6">
        <v>262413</v>
      </c>
      <c r="P72" s="6">
        <v>262616</v>
      </c>
      <c r="Q72" s="6">
        <f>P72-O72</f>
      </c>
      <c r="R72" s="7">
        <v>200</v>
      </c>
      <c r="S72" s="6">
        <f>IF(Q72-R72&lt;0,"0",Q72-R72)</f>
      </c>
      <c r="T72" s="6">
        <v>0</v>
      </c>
      <c r="U72" s="8">
        <v>46165.20833333333</v>
      </c>
      <c r="V72" s="8">
        <v>46165.38643518518</v>
      </c>
      <c r="W72" s="9">
        <f>V72-U72</f>
      </c>
      <c r="X72" s="10">
        <v>0.20833333333333334</v>
      </c>
      <c r="Y72" s="9">
        <f>IF(W72-X72&lt;0,"00:00:00",W72-X72)</f>
      </c>
      <c r="Z72" s="11">
        <v>145</v>
      </c>
      <c r="AA72" s="11">
        <v>6.9</v>
      </c>
      <c r="AB72" s="12">
        <f>Y72*Z72*24</f>
      </c>
      <c r="AC72" s="12">
        <f>S72*AA72</f>
      </c>
      <c r="AD72" s="12">
        <f>T72*AA72</f>
      </c>
      <c r="AE72" s="11">
        <v>1380</v>
      </c>
      <c r="AF72" s="12">
        <v>35</v>
      </c>
      <c r="AG72" s="12">
        <f>SUM(AB72:AF72)</f>
      </c>
      <c r="AH72" s="3"/>
      <c r="AI72" s="3"/>
      <c r="AJ72" s="3"/>
      <c r="AK72" s="3"/>
      <c r="AL72" s="3"/>
      <c r="AO72" s="3" t="s">
        <v>469</v>
      </c>
      <c r="AP72" s="6">
        <f>Q72</f>
      </c>
    </row>
    <row r="73" ht="18" customHeight="1" spans="1:42" x14ac:dyDescent="0.25">
      <c r="A73" s="3" t="s">
        <v>38</v>
      </c>
      <c r="B73" s="3" t="s">
        <v>39</v>
      </c>
      <c r="C73" s="3" t="s">
        <v>40</v>
      </c>
      <c r="D73" s="3" t="s">
        <v>41</v>
      </c>
      <c r="E73" s="3" t="s">
        <v>123</v>
      </c>
      <c r="F73" s="3" t="s">
        <v>485</v>
      </c>
      <c r="G73" s="3" t="s">
        <v>486</v>
      </c>
      <c r="H73" s="3" t="s">
        <v>487</v>
      </c>
      <c r="I73" s="3" t="s">
        <v>272</v>
      </c>
      <c r="J73" s="3" t="s">
        <v>488</v>
      </c>
      <c r="K73" s="5" t="s">
        <v>115</v>
      </c>
      <c r="L73" s="5" t="s">
        <v>67</v>
      </c>
      <c r="M73" s="5" t="s">
        <v>143</v>
      </c>
      <c r="N73" s="3" t="s">
        <v>67</v>
      </c>
      <c r="O73" s="6">
        <v>81601</v>
      </c>
      <c r="P73" s="6">
        <v>81663</v>
      </c>
      <c r="Q73" s="6">
        <f>P73-O73</f>
      </c>
      <c r="R73" s="7">
        <v>100</v>
      </c>
      <c r="S73" s="6">
        <f>IF(Q73-R73&lt;0,"0",Q73-R73)</f>
      </c>
      <c r="T73" s="6">
        <v>0</v>
      </c>
      <c r="U73" s="8">
        <v>46165.54166666667</v>
      </c>
      <c r="V73" s="8">
        <v>46165.66263888888</v>
      </c>
      <c r="W73" s="9">
        <f>V73-U73</f>
      </c>
      <c r="X73" s="10">
        <v>0.125</v>
      </c>
      <c r="Y73" s="9">
        <f>IF(W73-X73&lt;0,"00:00:00",W73-X73)</f>
      </c>
      <c r="Z73" s="11">
        <v>145</v>
      </c>
      <c r="AA73" s="11">
        <v>6.9</v>
      </c>
      <c r="AB73" s="12">
        <f>Y73*Z73*24</f>
      </c>
      <c r="AC73" s="12">
        <f>S73*AA73</f>
      </c>
      <c r="AD73" s="12">
        <f>T73*AA73</f>
      </c>
      <c r="AE73" s="11">
        <v>690</v>
      </c>
      <c r="AF73" s="12">
        <v>0</v>
      </c>
      <c r="AG73" s="12">
        <f>SUM(AB73:AF73)</f>
      </c>
      <c r="AH73" s="3"/>
      <c r="AI73" s="3"/>
      <c r="AJ73" s="3"/>
      <c r="AK73" s="3"/>
      <c r="AL73" s="3"/>
      <c r="AO73" s="3" t="s">
        <v>59</v>
      </c>
      <c r="AP73" s="6">
        <f>Q73</f>
      </c>
    </row>
    <row r="74" ht="18" customHeight="1" spans="1:42" x14ac:dyDescent="0.25">
      <c r="A74" s="3" t="s">
        <v>38</v>
      </c>
      <c r="B74" s="3" t="s">
        <v>39</v>
      </c>
      <c r="C74" s="3" t="s">
        <v>40</v>
      </c>
      <c r="D74" s="3" t="s">
        <v>41</v>
      </c>
      <c r="E74" s="3" t="s">
        <v>60</v>
      </c>
      <c r="F74" s="3" t="s">
        <v>489</v>
      </c>
      <c r="G74" s="3" t="s">
        <v>490</v>
      </c>
      <c r="H74" s="3" t="s">
        <v>491</v>
      </c>
      <c r="I74" s="3" t="s">
        <v>492</v>
      </c>
      <c r="J74" s="3" t="s">
        <v>493</v>
      </c>
      <c r="K74" s="5" t="s">
        <v>79</v>
      </c>
      <c r="L74" s="5" t="s">
        <v>67</v>
      </c>
      <c r="M74" s="5" t="s">
        <v>68</v>
      </c>
      <c r="N74" s="4" t="s">
        <v>47</v>
      </c>
      <c r="O74" s="6">
        <v>78293</v>
      </c>
      <c r="P74" s="6">
        <v>78493</v>
      </c>
      <c r="Q74" s="6">
        <v>200</v>
      </c>
      <c r="R74" s="7">
        <v>200</v>
      </c>
      <c r="S74" s="6">
        <f>IF(Q74-R74&lt;0,"0",Q74-R74)</f>
      </c>
      <c r="T74" s="6">
        <v>0</v>
      </c>
      <c r="U74" s="8">
        <v>46165.72916666667</v>
      </c>
      <c r="V74" s="8">
        <v>46165.96491898148</v>
      </c>
      <c r="W74" s="9">
        <f>V74-U74</f>
      </c>
      <c r="X74" s="10">
        <v>0.25</v>
      </c>
      <c r="Y74" s="9">
        <f>IF(W74-X74&lt;0,"00:00:00",W74-X74)</f>
      </c>
      <c r="Z74" s="11">
        <v>145</v>
      </c>
      <c r="AA74" s="11">
        <v>0</v>
      </c>
      <c r="AB74" s="12">
        <f>Y74*Z74*24</f>
      </c>
      <c r="AC74" s="12">
        <f>S74*AA74</f>
      </c>
      <c r="AD74" s="12">
        <f>T74*AA74</f>
      </c>
      <c r="AE74" s="11">
        <v>1380</v>
      </c>
      <c r="AF74" s="12">
        <v>35</v>
      </c>
      <c r="AG74" s="12">
        <f>SUM(AB74:AF74)</f>
      </c>
      <c r="AH74" s="3"/>
      <c r="AI74" s="3"/>
      <c r="AJ74" s="3"/>
      <c r="AK74" s="3"/>
      <c r="AL74" s="3"/>
      <c r="AO74" s="3" t="s">
        <v>80</v>
      </c>
      <c r="AP74" s="6">
        <f>Q74</f>
      </c>
    </row>
    <row r="75" ht="18" customHeight="1" spans="1:42" x14ac:dyDescent="0.25">
      <c r="A75" s="3" t="s">
        <v>38</v>
      </c>
      <c r="B75" s="3" t="s">
        <v>39</v>
      </c>
      <c r="C75" s="3" t="s">
        <v>40</v>
      </c>
      <c r="D75" s="3" t="s">
        <v>41</v>
      </c>
      <c r="E75" s="3" t="s">
        <v>494</v>
      </c>
      <c r="F75" s="3" t="s">
        <v>495</v>
      </c>
      <c r="G75" s="3" t="s">
        <v>496</v>
      </c>
      <c r="H75" s="3" t="s">
        <v>497</v>
      </c>
      <c r="I75" s="3" t="s">
        <v>272</v>
      </c>
      <c r="J75" s="3" t="s">
        <v>498</v>
      </c>
      <c r="K75" s="5" t="s">
        <v>169</v>
      </c>
      <c r="L75" s="5" t="s">
        <v>67</v>
      </c>
      <c r="M75" s="5" t="s">
        <v>499</v>
      </c>
      <c r="N75" s="3" t="s">
        <v>122</v>
      </c>
      <c r="O75" s="6">
        <v>81746</v>
      </c>
      <c r="P75" s="6">
        <v>82921</v>
      </c>
      <c r="Q75" s="6">
        <f>P75-O75</f>
      </c>
      <c r="R75" s="7">
        <v>1200</v>
      </c>
      <c r="S75" s="6">
        <f>IF(Q75-R75&lt;0,"0",Q75-R75)</f>
      </c>
      <c r="T75" s="6">
        <v>0</v>
      </c>
      <c r="U75" s="8">
        <v>46165.75833333333</v>
      </c>
      <c r="V75" s="8">
        <v>46167.360439814816</v>
      </c>
      <c r="W75" s="9">
        <f>V75-U75</f>
      </c>
      <c r="X75" s="10">
        <v>1.25</v>
      </c>
      <c r="Y75" s="9">
        <f>IF(W75-X75&lt;0,"00:00:00",W75-X75)</f>
      </c>
      <c r="Z75" s="11">
        <v>145</v>
      </c>
      <c r="AA75" s="11">
        <v>6.9</v>
      </c>
      <c r="AB75" s="12">
        <f>Y75*Z75*24</f>
      </c>
      <c r="AC75" s="12">
        <f>S75*AA75</f>
      </c>
      <c r="AD75" s="12">
        <f>T75*AA75</f>
      </c>
      <c r="AE75" s="11">
        <v>8280</v>
      </c>
      <c r="AF75" s="12">
        <v>29.6</v>
      </c>
      <c r="AG75" s="12">
        <f>SUM(AB75:AF75)</f>
      </c>
      <c r="AH75" s="3"/>
      <c r="AI75" s="3"/>
      <c r="AJ75" s="3"/>
      <c r="AK75" s="3"/>
      <c r="AL75" s="3"/>
      <c r="AO75" s="3" t="s">
        <v>431</v>
      </c>
      <c r="AP75" s="6">
        <f>Q75</f>
      </c>
    </row>
    <row r="76" ht="18" customHeight="1" spans="1:42" x14ac:dyDescent="0.25">
      <c r="A76" s="3" t="s">
        <v>38</v>
      </c>
      <c r="B76" s="3" t="s">
        <v>39</v>
      </c>
      <c r="C76" s="3" t="s">
        <v>40</v>
      </c>
      <c r="D76" s="3" t="s">
        <v>117</v>
      </c>
      <c r="E76" s="3" t="s">
        <v>60</v>
      </c>
      <c r="F76" s="3" t="s">
        <v>500</v>
      </c>
      <c r="G76" s="4" t="s">
        <v>47</v>
      </c>
      <c r="H76" s="3" t="s">
        <v>501</v>
      </c>
      <c r="I76" s="3" t="s">
        <v>502</v>
      </c>
      <c r="J76" s="4" t="s">
        <v>47</v>
      </c>
      <c r="K76" s="5" t="s">
        <v>169</v>
      </c>
      <c r="L76" s="5" t="s">
        <v>67</v>
      </c>
      <c r="M76" s="5" t="s">
        <v>68</v>
      </c>
      <c r="N76" s="4" t="s">
        <v>47</v>
      </c>
      <c r="O76" s="6">
        <v>0</v>
      </c>
      <c r="P76" s="6">
        <v>0</v>
      </c>
      <c r="Q76" s="6">
        <v>0</v>
      </c>
      <c r="R76" s="7">
        <v>200</v>
      </c>
      <c r="S76" s="6">
        <f>IF(Q76-R76&lt;0,"0",Q76-R76)</f>
      </c>
      <c r="T76" s="6">
        <v>0</v>
      </c>
      <c r="U76" s="8">
        <v>46166.16666666667</v>
      </c>
      <c r="V76" s="8">
        <v>46166.16666666667</v>
      </c>
      <c r="W76" s="9">
        <f>V76-U76</f>
      </c>
      <c r="X76" s="10">
        <v>0.25</v>
      </c>
      <c r="Y76" s="9">
        <f>IF(W76-X76&lt;0,"00:00:00",W76-X76)</f>
      </c>
      <c r="Z76" s="11">
        <v>145</v>
      </c>
      <c r="AA76" s="11">
        <v>0</v>
      </c>
      <c r="AB76" s="12">
        <f>Y76*Z76*24</f>
      </c>
      <c r="AC76" s="12">
        <f>S76*AA76</f>
      </c>
      <c r="AD76" s="12">
        <f>T76*AA76</f>
      </c>
      <c r="AE76" s="11">
        <v>690</v>
      </c>
      <c r="AF76" s="12">
        <v>0</v>
      </c>
      <c r="AG76" s="12">
        <f>SUM(AB76:AF76)</f>
      </c>
      <c r="AH76" s="3"/>
      <c r="AI76" s="3"/>
      <c r="AJ76" s="3"/>
      <c r="AK76" s="3"/>
      <c r="AL76" s="3"/>
      <c r="AO76" s="3" t="s">
        <v>80</v>
      </c>
      <c r="AP76" s="6">
        <f>Q76</f>
      </c>
    </row>
    <row r="77" ht="18" customHeight="1" spans="1:42" x14ac:dyDescent="0.25">
      <c r="A77" s="3" t="s">
        <v>38</v>
      </c>
      <c r="B77" s="3" t="s">
        <v>39</v>
      </c>
      <c r="C77" s="3" t="s">
        <v>40</v>
      </c>
      <c r="D77" s="3" t="s">
        <v>41</v>
      </c>
      <c r="E77" s="3" t="s">
        <v>60</v>
      </c>
      <c r="F77" s="3" t="s">
        <v>503</v>
      </c>
      <c r="G77" s="3" t="s">
        <v>504</v>
      </c>
      <c r="H77" s="3" t="s">
        <v>505</v>
      </c>
      <c r="I77" s="3" t="s">
        <v>506</v>
      </c>
      <c r="J77" s="4" t="s">
        <v>47</v>
      </c>
      <c r="K77" s="5" t="s">
        <v>169</v>
      </c>
      <c r="L77" s="5" t="s">
        <v>67</v>
      </c>
      <c r="M77" s="5" t="s">
        <v>68</v>
      </c>
      <c r="N77" s="4" t="s">
        <v>47</v>
      </c>
      <c r="O77" s="6">
        <v>118936</v>
      </c>
      <c r="P77" s="6">
        <v>119136</v>
      </c>
      <c r="Q77" s="6">
        <v>200</v>
      </c>
      <c r="R77" s="7">
        <v>200</v>
      </c>
      <c r="S77" s="6">
        <f>IF(Q77-R77&lt;0,"0",Q77-R77)</f>
      </c>
      <c r="T77" s="6">
        <v>0</v>
      </c>
      <c r="U77" s="8">
        <v>46166.20833333333</v>
      </c>
      <c r="V77" s="8">
        <v>46166.322754629626</v>
      </c>
      <c r="W77" s="9">
        <f>V77-U77</f>
      </c>
      <c r="X77" s="10">
        <v>0.20833333333333334</v>
      </c>
      <c r="Y77" s="9">
        <f>IF(W77-X77&lt;0,"00:00:00",W77-X77)</f>
      </c>
      <c r="Z77" s="11">
        <v>145</v>
      </c>
      <c r="AA77" s="11">
        <v>0</v>
      </c>
      <c r="AB77" s="12">
        <f>Y77*Z77*24</f>
      </c>
      <c r="AC77" s="12">
        <f>S77*AA77</f>
      </c>
      <c r="AD77" s="12">
        <f>T77*AA77</f>
      </c>
      <c r="AE77" s="11">
        <v>1380</v>
      </c>
      <c r="AF77" s="12">
        <v>35</v>
      </c>
      <c r="AG77" s="12">
        <f>SUM(AB77:AF77)</f>
      </c>
      <c r="AH77" s="3"/>
      <c r="AI77" s="3"/>
      <c r="AJ77" s="3"/>
      <c r="AK77" s="3"/>
      <c r="AL77" s="3"/>
      <c r="AO77" s="3" t="s">
        <v>507</v>
      </c>
      <c r="AP77" s="6">
        <f>Q77</f>
      </c>
    </row>
    <row r="78" ht="18" customHeight="1" spans="1:42" x14ac:dyDescent="0.25">
      <c r="A78" s="3" t="s">
        <v>38</v>
      </c>
      <c r="B78" s="3" t="s">
        <v>39</v>
      </c>
      <c r="C78" s="3" t="s">
        <v>40</v>
      </c>
      <c r="D78" s="3" t="s">
        <v>41</v>
      </c>
      <c r="E78" s="3" t="s">
        <v>424</v>
      </c>
      <c r="F78" s="3" t="s">
        <v>508</v>
      </c>
      <c r="G78" s="3" t="s">
        <v>509</v>
      </c>
      <c r="H78" s="3" t="s">
        <v>510</v>
      </c>
      <c r="I78" s="3" t="s">
        <v>511</v>
      </c>
      <c r="J78" s="3" t="s">
        <v>512</v>
      </c>
      <c r="K78" s="5" t="s">
        <v>169</v>
      </c>
      <c r="L78" s="5" t="s">
        <v>67</v>
      </c>
      <c r="M78" s="5" t="s">
        <v>444</v>
      </c>
      <c r="N78" s="3" t="s">
        <v>108</v>
      </c>
      <c r="O78" s="6">
        <v>221488</v>
      </c>
      <c r="P78" s="6">
        <v>222671</v>
      </c>
      <c r="Q78" s="6">
        <f>P78-O78</f>
      </c>
      <c r="R78" s="7">
        <v>2927</v>
      </c>
      <c r="S78" s="6">
        <f>IF(Q78-R78&lt;0,"0",Q78-R78)</f>
      </c>
      <c r="T78" s="6">
        <v>0</v>
      </c>
      <c r="U78" s="8">
        <v>46165.834027777775</v>
      </c>
      <c r="V78" s="8">
        <v>46167.3746412037</v>
      </c>
      <c r="W78" s="9">
        <f>V78-U78</f>
      </c>
      <c r="X78" s="10">
        <v>3.75</v>
      </c>
      <c r="Y78" s="9">
        <f>IF(W78-X78&lt;0,"00:00:00",W78-X78)</f>
      </c>
      <c r="Z78" s="11">
        <v>145</v>
      </c>
      <c r="AA78" s="11">
        <v>0</v>
      </c>
      <c r="AB78" s="12">
        <f>Y78*Z78*24</f>
      </c>
      <c r="AC78" s="12">
        <f>S78*AA78</f>
      </c>
      <c r="AD78" s="12">
        <f>T78*AA78</f>
      </c>
      <c r="AE78" s="11">
        <v>22635.93</v>
      </c>
      <c r="AF78" s="12">
        <v>138.5</v>
      </c>
      <c r="AG78" s="12">
        <f>SUM(AB78:AF78)</f>
      </c>
      <c r="AH78" s="3"/>
      <c r="AI78" s="3"/>
      <c r="AJ78" s="3"/>
      <c r="AK78" s="3"/>
      <c r="AL78" s="3"/>
      <c r="AO78" s="3" t="s">
        <v>513</v>
      </c>
      <c r="AP78" s="6">
        <f>Q78</f>
      </c>
    </row>
    <row r="79" ht="18" customHeight="1" spans="1:42" x14ac:dyDescent="0.25">
      <c r="A79" s="3" t="s">
        <v>38</v>
      </c>
      <c r="B79" s="3" t="s">
        <v>39</v>
      </c>
      <c r="C79" s="3" t="s">
        <v>40</v>
      </c>
      <c r="D79" s="3" t="s">
        <v>41</v>
      </c>
      <c r="E79" s="3" t="s">
        <v>60</v>
      </c>
      <c r="F79" s="3" t="s">
        <v>514</v>
      </c>
      <c r="G79" s="3" t="s">
        <v>515</v>
      </c>
      <c r="H79" s="3" t="s">
        <v>516</v>
      </c>
      <c r="I79" s="3" t="s">
        <v>358</v>
      </c>
      <c r="J79" s="3" t="s">
        <v>517</v>
      </c>
      <c r="K79" s="5" t="s">
        <v>66</v>
      </c>
      <c r="L79" s="5" t="s">
        <v>67</v>
      </c>
      <c r="M79" s="5" t="s">
        <v>68</v>
      </c>
      <c r="N79" s="4" t="s">
        <v>47</v>
      </c>
      <c r="O79" s="6">
        <v>78707</v>
      </c>
      <c r="P79" s="6">
        <v>78784</v>
      </c>
      <c r="Q79" s="6">
        <v>200</v>
      </c>
      <c r="R79" s="7">
        <v>200</v>
      </c>
      <c r="S79" s="6">
        <f>IF(Q79-R79&lt;0,"0",Q79-R79)</f>
      </c>
      <c r="T79" s="6">
        <v>0</v>
      </c>
      <c r="U79" s="8">
        <v>46166.75</v>
      </c>
      <c r="V79" s="8">
        <v>46166.929236111115</v>
      </c>
      <c r="W79" s="9">
        <f>V79-U79</f>
      </c>
      <c r="X79" s="10">
        <v>0.25</v>
      </c>
      <c r="Y79" s="9">
        <f>IF(W79-X79&lt;0,"00:00:00",W79-X79)</f>
      </c>
      <c r="Z79" s="11">
        <v>145</v>
      </c>
      <c r="AA79" s="11">
        <v>0</v>
      </c>
      <c r="AB79" s="12">
        <f>Y79*Z79*24</f>
      </c>
      <c r="AC79" s="12">
        <f>S79*AA79</f>
      </c>
      <c r="AD79" s="12">
        <f>T79*AA79</f>
      </c>
      <c r="AE79" s="11">
        <v>1380</v>
      </c>
      <c r="AF79" s="12">
        <v>10.9</v>
      </c>
      <c r="AG79" s="12">
        <f>SUM(AB79:AF79)</f>
      </c>
      <c r="AH79" s="3"/>
      <c r="AI79" s="3"/>
      <c r="AJ79" s="3"/>
      <c r="AK79" s="3"/>
      <c r="AL79" s="3"/>
      <c r="AO79" s="3" t="s">
        <v>80</v>
      </c>
      <c r="AP79" s="6">
        <f>Q79</f>
      </c>
    </row>
    <row r="80" ht="18" customHeight="1" spans="1:42" x14ac:dyDescent="0.25">
      <c r="A80" s="3" t="s">
        <v>38</v>
      </c>
      <c r="B80" s="3" t="s">
        <v>39</v>
      </c>
      <c r="C80" s="3" t="s">
        <v>40</v>
      </c>
      <c r="D80" s="3" t="s">
        <v>117</v>
      </c>
      <c r="E80" s="3" t="s">
        <v>157</v>
      </c>
      <c r="F80" s="3" t="s">
        <v>518</v>
      </c>
      <c r="G80" s="4" t="s">
        <v>47</v>
      </c>
      <c r="H80" s="3" t="s">
        <v>519</v>
      </c>
      <c r="I80" s="3" t="s">
        <v>520</v>
      </c>
      <c r="J80" s="3" t="s">
        <v>521</v>
      </c>
      <c r="K80" s="5" t="s">
        <v>522</v>
      </c>
      <c r="L80" s="5" t="s">
        <v>49</v>
      </c>
      <c r="M80" s="5" t="s">
        <v>116</v>
      </c>
      <c r="N80" s="3" t="s">
        <v>67</v>
      </c>
      <c r="O80" s="6">
        <v>0</v>
      </c>
      <c r="P80" s="6">
        <v>0</v>
      </c>
      <c r="Q80" s="6">
        <v>0</v>
      </c>
      <c r="R80" s="7">
        <v>500</v>
      </c>
      <c r="S80" s="6">
        <f>IF(Q80-R80&lt;0,"0",Q80-R80)</f>
      </c>
      <c r="T80" s="6">
        <v>0</v>
      </c>
      <c r="U80" s="8">
        <v>46166.75</v>
      </c>
      <c r="V80" s="8">
        <v>46166.75</v>
      </c>
      <c r="W80" s="9">
        <f>V80-U80</f>
      </c>
      <c r="X80" s="10">
        <v>0.4583333333333333</v>
      </c>
      <c r="Y80" s="9">
        <f>IF(W80-X80&lt;0,"00:00:00",W80-X80)</f>
      </c>
      <c r="Z80" s="11">
        <v>145</v>
      </c>
      <c r="AA80" s="11">
        <v>0</v>
      </c>
      <c r="AB80" s="12">
        <f>Y80*Z80*24</f>
      </c>
      <c r="AC80" s="12">
        <f>S80*AA80</f>
      </c>
      <c r="AD80" s="12">
        <f>T80*AA80</f>
      </c>
      <c r="AE80" s="11">
        <v>735</v>
      </c>
      <c r="AF80" s="12">
        <v>0</v>
      </c>
      <c r="AG80" s="12">
        <f>SUM(AB80:AF80)</f>
      </c>
      <c r="AH80" s="3"/>
      <c r="AI80" s="3"/>
      <c r="AJ80" s="3"/>
      <c r="AK80" s="3"/>
      <c r="AL80" s="3"/>
      <c r="AO80" s="3" t="s">
        <v>164</v>
      </c>
      <c r="AP80" s="6">
        <f>Q80</f>
      </c>
    </row>
    <row r="81" ht="18" customHeight="1" spans="1:42" x14ac:dyDescent="0.25">
      <c r="A81" s="3" t="s">
        <v>38</v>
      </c>
      <c r="B81" s="3" t="s">
        <v>39</v>
      </c>
      <c r="C81" s="3" t="s">
        <v>40</v>
      </c>
      <c r="D81" s="3" t="s">
        <v>41</v>
      </c>
      <c r="E81" s="3" t="s">
        <v>494</v>
      </c>
      <c r="F81" s="3" t="s">
        <v>523</v>
      </c>
      <c r="G81" s="3" t="s">
        <v>524</v>
      </c>
      <c r="H81" s="3" t="s">
        <v>525</v>
      </c>
      <c r="I81" s="3" t="s">
        <v>199</v>
      </c>
      <c r="J81" s="3" t="s">
        <v>526</v>
      </c>
      <c r="K81" s="5" t="s">
        <v>169</v>
      </c>
      <c r="L81" s="5" t="s">
        <v>67</v>
      </c>
      <c r="M81" s="5" t="s">
        <v>499</v>
      </c>
      <c r="N81" s="3" t="s">
        <v>122</v>
      </c>
      <c r="O81" s="6">
        <v>199918</v>
      </c>
      <c r="P81" s="6">
        <v>200518</v>
      </c>
      <c r="Q81" s="6">
        <f>P81-O81</f>
      </c>
      <c r="R81" s="7">
        <v>653</v>
      </c>
      <c r="S81" s="6">
        <f>IF(Q81-R81&lt;0,"0",Q81-R81)</f>
      </c>
      <c r="T81" s="6">
        <v>0</v>
      </c>
      <c r="U81" s="8">
        <v>46167.14583333333</v>
      </c>
      <c r="V81" s="8">
        <v>46168.344201388885</v>
      </c>
      <c r="W81" s="9">
        <f>V81-U81</f>
      </c>
      <c r="X81" s="10">
        <v>1.5416666666666667</v>
      </c>
      <c r="Y81" s="9">
        <f>IF(W81-X81&lt;0,"00:00:00",W81-X81)</f>
      </c>
      <c r="Z81" s="11">
        <v>145</v>
      </c>
      <c r="AA81" s="11">
        <v>0</v>
      </c>
      <c r="AB81" s="12">
        <f>Y81*Z81*24</f>
      </c>
      <c r="AC81" s="12">
        <f>S81*AA81</f>
      </c>
      <c r="AD81" s="12">
        <f>T81*AA81</f>
      </c>
      <c r="AE81" s="11">
        <v>7503.58</v>
      </c>
      <c r="AF81" s="12">
        <v>129.9</v>
      </c>
      <c r="AG81" s="12">
        <f>SUM(AB81:AF81)</f>
      </c>
      <c r="AH81" s="3"/>
      <c r="AI81" s="3"/>
      <c r="AJ81" s="3"/>
      <c r="AK81" s="3"/>
      <c r="AL81" s="3"/>
      <c r="AO81" s="3" t="s">
        <v>527</v>
      </c>
      <c r="AP81" s="6">
        <f>Q81</f>
      </c>
    </row>
    <row r="82" ht="18" customHeight="1" spans="1:42" x14ac:dyDescent="0.25">
      <c r="A82" s="3" t="s">
        <v>38</v>
      </c>
      <c r="B82" s="3" t="s">
        <v>39</v>
      </c>
      <c r="C82" s="3" t="s">
        <v>40</v>
      </c>
      <c r="D82" s="3" t="s">
        <v>41</v>
      </c>
      <c r="E82" s="3" t="s">
        <v>528</v>
      </c>
      <c r="F82" s="3" t="s">
        <v>529</v>
      </c>
      <c r="G82" s="3" t="s">
        <v>530</v>
      </c>
      <c r="H82" s="3" t="s">
        <v>531</v>
      </c>
      <c r="I82" s="3" t="s">
        <v>240</v>
      </c>
      <c r="J82" s="3" t="s">
        <v>532</v>
      </c>
      <c r="K82" s="5" t="s">
        <v>327</v>
      </c>
      <c r="L82" s="5" t="s">
        <v>108</v>
      </c>
      <c r="M82" s="5" t="s">
        <v>68</v>
      </c>
      <c r="N82" s="4" t="s">
        <v>47</v>
      </c>
      <c r="O82" s="6">
        <v>251669</v>
      </c>
      <c r="P82" s="6">
        <v>251702</v>
      </c>
      <c r="Q82" s="6">
        <v>200</v>
      </c>
      <c r="R82" s="7">
        <v>100</v>
      </c>
      <c r="S82" s="6">
        <f>IF(Q82-R82&lt;0,"0",Q82-R82)</f>
      </c>
      <c r="T82" s="6">
        <v>0</v>
      </c>
      <c r="U82" s="8">
        <v>46167.29166666667</v>
      </c>
      <c r="V82" s="8">
        <v>46167.377800925926</v>
      </c>
      <c r="W82" s="9">
        <f>V82-U82</f>
      </c>
      <c r="X82" s="10">
        <v>0.125</v>
      </c>
      <c r="Y82" s="9">
        <f>IF(W82-X82&lt;0,"00:00:00",W82-X82)</f>
      </c>
      <c r="Z82" s="11">
        <v>145</v>
      </c>
      <c r="AA82" s="11">
        <v>0</v>
      </c>
      <c r="AB82" s="12">
        <f>Y82*Z82*24</f>
      </c>
      <c r="AC82" s="12">
        <f>S82*AA82</f>
      </c>
      <c r="AD82" s="12">
        <f>T82*AA82</f>
      </c>
      <c r="AE82" s="11">
        <v>735</v>
      </c>
      <c r="AF82" s="12">
        <v>0</v>
      </c>
      <c r="AG82" s="12">
        <f>SUM(AB82:AF82)</f>
      </c>
      <c r="AH82" s="3"/>
      <c r="AI82" s="3"/>
      <c r="AJ82" s="3"/>
      <c r="AK82" s="3"/>
      <c r="AL82" s="3"/>
      <c r="AO82" s="3" t="s">
        <v>242</v>
      </c>
      <c r="AP82" s="6">
        <f>Q82</f>
      </c>
    </row>
    <row r="83" ht="18" customHeight="1" spans="1:42" x14ac:dyDescent="0.25">
      <c r="A83" s="3" t="s">
        <v>38</v>
      </c>
      <c r="B83" s="3" t="s">
        <v>39</v>
      </c>
      <c r="C83" s="3" t="s">
        <v>40</v>
      </c>
      <c r="D83" s="3" t="s">
        <v>41</v>
      </c>
      <c r="E83" s="3" t="s">
        <v>101</v>
      </c>
      <c r="F83" s="3" t="s">
        <v>533</v>
      </c>
      <c r="G83" s="3" t="s">
        <v>534</v>
      </c>
      <c r="H83" s="3" t="s">
        <v>535</v>
      </c>
      <c r="I83" s="3" t="s">
        <v>421</v>
      </c>
      <c r="J83" s="3" t="s">
        <v>241</v>
      </c>
      <c r="K83" s="5" t="s">
        <v>107</v>
      </c>
      <c r="L83" s="5" t="s">
        <v>108</v>
      </c>
      <c r="M83" s="5" t="s">
        <v>109</v>
      </c>
      <c r="N83" s="3" t="s">
        <v>108</v>
      </c>
      <c r="O83" s="6">
        <v>280516</v>
      </c>
      <c r="P83" s="6">
        <v>280548</v>
      </c>
      <c r="Q83" s="6">
        <f>P83-O83</f>
      </c>
      <c r="R83" s="7">
        <v>100</v>
      </c>
      <c r="S83" s="6">
        <f>IF(Q83-R83&lt;0,"0",Q83-R83)</f>
      </c>
      <c r="T83" s="6">
        <v>0</v>
      </c>
      <c r="U83" s="8">
        <v>46167.27083333333</v>
      </c>
      <c r="V83" s="8">
        <v>46167.36459490741</v>
      </c>
      <c r="W83" s="9">
        <f>V83-U83</f>
      </c>
      <c r="X83" s="10">
        <v>0.125</v>
      </c>
      <c r="Y83" s="9">
        <f>IF(W83-X83&lt;0,"00:00:00",W83-X83)</f>
      </c>
      <c r="Z83" s="11">
        <v>145</v>
      </c>
      <c r="AA83" s="11">
        <v>0</v>
      </c>
      <c r="AB83" s="12">
        <f>Y83*Z83*24</f>
      </c>
      <c r="AC83" s="12">
        <f>S83*AA83</f>
      </c>
      <c r="AD83" s="12">
        <f>T83*AA83</f>
      </c>
      <c r="AE83" s="11">
        <v>735</v>
      </c>
      <c r="AF83" s="12">
        <v>0</v>
      </c>
      <c r="AG83" s="12">
        <f>SUM(AB83:AF83)</f>
      </c>
      <c r="AH83" s="3"/>
      <c r="AI83" s="3"/>
      <c r="AJ83" s="3"/>
      <c r="AK83" s="3"/>
      <c r="AL83" s="3"/>
      <c r="AO83" s="3" t="s">
        <v>242</v>
      </c>
      <c r="AP83" s="6">
        <f>Q83</f>
      </c>
    </row>
    <row r="84" ht="18" customHeight="1" spans="1:42" x14ac:dyDescent="0.25">
      <c r="A84" s="3" t="s">
        <v>38</v>
      </c>
      <c r="B84" s="3" t="s">
        <v>39</v>
      </c>
      <c r="C84" s="3" t="s">
        <v>40</v>
      </c>
      <c r="D84" s="3" t="s">
        <v>41</v>
      </c>
      <c r="E84" s="3" t="s">
        <v>101</v>
      </c>
      <c r="F84" s="3" t="s">
        <v>536</v>
      </c>
      <c r="G84" s="3" t="s">
        <v>537</v>
      </c>
      <c r="H84" s="3" t="s">
        <v>538</v>
      </c>
      <c r="I84" s="3" t="s">
        <v>421</v>
      </c>
      <c r="J84" s="3" t="s">
        <v>539</v>
      </c>
      <c r="K84" s="5" t="s">
        <v>107</v>
      </c>
      <c r="L84" s="5" t="s">
        <v>108</v>
      </c>
      <c r="M84" s="5" t="s">
        <v>109</v>
      </c>
      <c r="N84" s="3" t="s">
        <v>108</v>
      </c>
      <c r="O84" s="6">
        <v>280580</v>
      </c>
      <c r="P84" s="6">
        <v>280612</v>
      </c>
      <c r="Q84" s="6">
        <f>P84-O84</f>
      </c>
      <c r="R84" s="7">
        <v>100</v>
      </c>
      <c r="S84" s="6">
        <f>IF(Q84-R84&lt;0,"0",Q84-R84)</f>
      </c>
      <c r="T84" s="6">
        <v>0</v>
      </c>
      <c r="U84" s="8">
        <v>46167.41666666667</v>
      </c>
      <c r="V84" s="8">
        <v>46167.51771990741</v>
      </c>
      <c r="W84" s="9">
        <f>V84-U84</f>
      </c>
      <c r="X84" s="10">
        <v>0.125</v>
      </c>
      <c r="Y84" s="9">
        <f>IF(W84-X84&lt;0,"00:00:00",W84-X84)</f>
      </c>
      <c r="Z84" s="11">
        <v>145</v>
      </c>
      <c r="AA84" s="11">
        <v>0</v>
      </c>
      <c r="AB84" s="12">
        <f>Y84*Z84*24</f>
      </c>
      <c r="AC84" s="12">
        <f>S84*AA84</f>
      </c>
      <c r="AD84" s="12">
        <f>T84*AA84</f>
      </c>
      <c r="AE84" s="11">
        <v>735</v>
      </c>
      <c r="AF84" s="12">
        <v>0</v>
      </c>
      <c r="AG84" s="12">
        <f>SUM(AB84:AF84)</f>
      </c>
      <c r="AH84" s="3"/>
      <c r="AI84" s="3"/>
      <c r="AJ84" s="3"/>
      <c r="AK84" s="3"/>
      <c r="AL84" s="3"/>
      <c r="AO84" s="3" t="s">
        <v>242</v>
      </c>
      <c r="AP84" s="6">
        <f>Q84</f>
      </c>
    </row>
    <row r="85" ht="18" customHeight="1" spans="1:42" x14ac:dyDescent="0.25">
      <c r="A85" s="3" t="s">
        <v>38</v>
      </c>
      <c r="B85" s="3" t="s">
        <v>39</v>
      </c>
      <c r="C85" s="3" t="s">
        <v>40</v>
      </c>
      <c r="D85" s="3" t="s">
        <v>41</v>
      </c>
      <c r="E85" s="3" t="s">
        <v>101</v>
      </c>
      <c r="F85" s="3" t="s">
        <v>540</v>
      </c>
      <c r="G85" s="3" t="s">
        <v>537</v>
      </c>
      <c r="H85" s="3" t="s">
        <v>541</v>
      </c>
      <c r="I85" s="3" t="s">
        <v>240</v>
      </c>
      <c r="J85" s="3" t="s">
        <v>539</v>
      </c>
      <c r="K85" s="5" t="s">
        <v>107</v>
      </c>
      <c r="L85" s="5" t="s">
        <v>108</v>
      </c>
      <c r="M85" s="5" t="s">
        <v>109</v>
      </c>
      <c r="N85" s="3" t="s">
        <v>108</v>
      </c>
      <c r="O85" s="6">
        <v>251756</v>
      </c>
      <c r="P85" s="6">
        <v>251788</v>
      </c>
      <c r="Q85" s="6">
        <f>P85-O85</f>
      </c>
      <c r="R85" s="7">
        <v>100</v>
      </c>
      <c r="S85" s="6">
        <f>IF(Q85-R85&lt;0,"0",Q85-R85)</f>
      </c>
      <c r="T85" s="6">
        <v>0</v>
      </c>
      <c r="U85" s="8">
        <v>46167.41666666667</v>
      </c>
      <c r="V85" s="8">
        <v>46167.51868055556</v>
      </c>
      <c r="W85" s="9">
        <f>V85-U85</f>
      </c>
      <c r="X85" s="10">
        <v>0.125</v>
      </c>
      <c r="Y85" s="9">
        <f>IF(W85-X85&lt;0,"00:00:00",W85-X85)</f>
      </c>
      <c r="Z85" s="11">
        <v>145</v>
      </c>
      <c r="AA85" s="11">
        <v>0</v>
      </c>
      <c r="AB85" s="12">
        <f>Y85*Z85*24</f>
      </c>
      <c r="AC85" s="12">
        <f>S85*AA85</f>
      </c>
      <c r="AD85" s="12">
        <f>T85*AA85</f>
      </c>
      <c r="AE85" s="11">
        <v>735</v>
      </c>
      <c r="AF85" s="12">
        <v>0</v>
      </c>
      <c r="AG85" s="12">
        <f>SUM(AB85:AF85)</f>
      </c>
      <c r="AH85" s="3"/>
      <c r="AI85" s="3"/>
      <c r="AJ85" s="3"/>
      <c r="AK85" s="3"/>
      <c r="AL85" s="3"/>
      <c r="AO85" s="3" t="s">
        <v>242</v>
      </c>
      <c r="AP85" s="6">
        <f>Q85</f>
      </c>
    </row>
    <row r="86" ht="18" customHeight="1" spans="1:42" x14ac:dyDescent="0.25">
      <c r="A86" s="3" t="s">
        <v>38</v>
      </c>
      <c r="B86" s="3" t="s">
        <v>39</v>
      </c>
      <c r="C86" s="3" t="s">
        <v>40</v>
      </c>
      <c r="D86" s="3" t="s">
        <v>41</v>
      </c>
      <c r="E86" s="3" t="s">
        <v>60</v>
      </c>
      <c r="F86" s="3" t="s">
        <v>542</v>
      </c>
      <c r="G86" s="3" t="s">
        <v>543</v>
      </c>
      <c r="H86" s="3" t="s">
        <v>544</v>
      </c>
      <c r="I86" s="3" t="s">
        <v>492</v>
      </c>
      <c r="J86" s="3" t="s">
        <v>545</v>
      </c>
      <c r="K86" s="5" t="s">
        <v>546</v>
      </c>
      <c r="L86" s="5" t="s">
        <v>67</v>
      </c>
      <c r="M86" s="5" t="s">
        <v>79</v>
      </c>
      <c r="N86" s="3" t="s">
        <v>67</v>
      </c>
      <c r="O86" s="6">
        <v>79001</v>
      </c>
      <c r="P86" s="6">
        <v>79055</v>
      </c>
      <c r="Q86" s="6">
        <v>200</v>
      </c>
      <c r="R86" s="7">
        <v>200</v>
      </c>
      <c r="S86" s="6">
        <f>IF(Q86-R86&lt;0,"0",Q86-R86)</f>
      </c>
      <c r="T86" s="6">
        <v>0</v>
      </c>
      <c r="U86" s="8">
        <v>46167.58333333333</v>
      </c>
      <c r="V86" s="8">
        <v>46167.803449074076</v>
      </c>
      <c r="W86" s="9">
        <f>V86-U86</f>
      </c>
      <c r="X86" s="10">
        <v>0.25</v>
      </c>
      <c r="Y86" s="9">
        <f>IF(W86-X86&lt;0,"00:00:00",W86-X86)</f>
      </c>
      <c r="Z86" s="11">
        <v>145</v>
      </c>
      <c r="AA86" s="11">
        <v>0</v>
      </c>
      <c r="AB86" s="12">
        <f>Y86*Z86*24</f>
      </c>
      <c r="AC86" s="12">
        <f>S86*AA86</f>
      </c>
      <c r="AD86" s="12">
        <f>T86*AA86</f>
      </c>
      <c r="AE86" s="11">
        <v>1380</v>
      </c>
      <c r="AF86" s="12">
        <v>5.9</v>
      </c>
      <c r="AG86" s="12">
        <f>SUM(AB86:AF86)</f>
      </c>
      <c r="AH86" s="3"/>
      <c r="AI86" s="3"/>
      <c r="AJ86" s="3"/>
      <c r="AK86" s="3"/>
      <c r="AL86" s="3"/>
      <c r="AO86" s="3" t="s">
        <v>80</v>
      </c>
      <c r="AP86" s="6">
        <f>Q86</f>
      </c>
    </row>
    <row r="87" ht="18" customHeight="1" spans="1:42" x14ac:dyDescent="0.25">
      <c r="A87" s="3" t="s">
        <v>38</v>
      </c>
      <c r="B87" s="3" t="s">
        <v>39</v>
      </c>
      <c r="C87" s="3" t="s">
        <v>40</v>
      </c>
      <c r="D87" s="3" t="s">
        <v>41</v>
      </c>
      <c r="E87" s="3" t="s">
        <v>547</v>
      </c>
      <c r="F87" s="3" t="s">
        <v>548</v>
      </c>
      <c r="G87" s="3" t="s">
        <v>549</v>
      </c>
      <c r="H87" s="3" t="s">
        <v>550</v>
      </c>
      <c r="I87" s="3" t="s">
        <v>551</v>
      </c>
      <c r="J87" s="3" t="s">
        <v>552</v>
      </c>
      <c r="K87" s="5" t="s">
        <v>553</v>
      </c>
      <c r="L87" s="5" t="s">
        <v>67</v>
      </c>
      <c r="M87" s="5" t="s">
        <v>554</v>
      </c>
      <c r="N87" s="3" t="s">
        <v>67</v>
      </c>
      <c r="O87" s="6">
        <v>45546</v>
      </c>
      <c r="P87" s="6">
        <v>45582</v>
      </c>
      <c r="Q87" s="6">
        <f>P87-O87</f>
      </c>
      <c r="R87" s="7">
        <v>100</v>
      </c>
      <c r="S87" s="6">
        <f>IF(Q87-R87&lt;0,"0",Q87-R87)</f>
      </c>
      <c r="T87" s="6">
        <v>0</v>
      </c>
      <c r="U87" s="8">
        <v>46168.39583333333</v>
      </c>
      <c r="V87" s="8">
        <v>46168.46917824074</v>
      </c>
      <c r="W87" s="9">
        <f>V87-U87</f>
      </c>
      <c r="X87" s="10">
        <v>0.125</v>
      </c>
      <c r="Y87" s="9">
        <f>IF(W87-X87&lt;0,"00:00:00",W87-X87)</f>
      </c>
      <c r="Z87" s="11">
        <v>145</v>
      </c>
      <c r="AA87" s="11">
        <v>6.9</v>
      </c>
      <c r="AB87" s="12">
        <f>Y87*Z87*24</f>
      </c>
      <c r="AC87" s="12">
        <f>S87*AA87</f>
      </c>
      <c r="AD87" s="12">
        <f>T87*AA87</f>
      </c>
      <c r="AE87" s="11">
        <v>690</v>
      </c>
      <c r="AF87" s="12">
        <v>0</v>
      </c>
      <c r="AG87" s="12">
        <f>SUM(AB87:AF87)</f>
      </c>
      <c r="AH87" s="3"/>
      <c r="AI87" s="3"/>
      <c r="AJ87" s="3"/>
      <c r="AK87" s="3"/>
      <c r="AL87" s="3"/>
      <c r="AO87" s="3" t="s">
        <v>59</v>
      </c>
      <c r="AP87" s="6">
        <f>Q87</f>
      </c>
    </row>
    <row r="88" ht="18" customHeight="1" spans="1:42" x14ac:dyDescent="0.25">
      <c r="A88" s="3" t="s">
        <v>38</v>
      </c>
      <c r="B88" s="3" t="s">
        <v>39</v>
      </c>
      <c r="C88" s="3" t="s">
        <v>40</v>
      </c>
      <c r="D88" s="3" t="s">
        <v>41</v>
      </c>
      <c r="E88" s="3" t="s">
        <v>547</v>
      </c>
      <c r="F88" s="3" t="s">
        <v>555</v>
      </c>
      <c r="G88" s="3" t="s">
        <v>556</v>
      </c>
      <c r="H88" s="3" t="s">
        <v>557</v>
      </c>
      <c r="I88" s="3" t="s">
        <v>558</v>
      </c>
      <c r="J88" s="3" t="s">
        <v>559</v>
      </c>
      <c r="K88" s="5" t="s">
        <v>553</v>
      </c>
      <c r="L88" s="5" t="s">
        <v>67</v>
      </c>
      <c r="M88" s="5" t="s">
        <v>560</v>
      </c>
      <c r="N88" s="3" t="s">
        <v>67</v>
      </c>
      <c r="O88" s="6">
        <v>25003</v>
      </c>
      <c r="P88" s="6">
        <v>25049</v>
      </c>
      <c r="Q88" s="6">
        <f>P88-O88</f>
      </c>
      <c r="R88" s="7">
        <v>100</v>
      </c>
      <c r="S88" s="6">
        <f>IF(Q88-R88&lt;0,"0",Q88-R88)</f>
      </c>
      <c r="T88" s="6">
        <v>0</v>
      </c>
      <c r="U88" s="8">
        <v>46168.25</v>
      </c>
      <c r="V88" s="8">
        <v>46168.365439814814</v>
      </c>
      <c r="W88" s="9">
        <f>V88-U88</f>
      </c>
      <c r="X88" s="10">
        <v>0.125</v>
      </c>
      <c r="Y88" s="9">
        <f>IF(W88-X88&lt;0,"00:00:00",W88-X88)</f>
      </c>
      <c r="Z88" s="11">
        <v>145</v>
      </c>
      <c r="AA88" s="11">
        <v>6.9</v>
      </c>
      <c r="AB88" s="12">
        <f>Y88*Z88*24</f>
      </c>
      <c r="AC88" s="12">
        <f>S88*AA88</f>
      </c>
      <c r="AD88" s="12">
        <f>T88*AA88</f>
      </c>
      <c r="AE88" s="11">
        <v>690</v>
      </c>
      <c r="AF88" s="12">
        <v>0</v>
      </c>
      <c r="AG88" s="12">
        <f>SUM(AB88:AF88)</f>
      </c>
      <c r="AH88" s="3"/>
      <c r="AI88" s="3"/>
      <c r="AJ88" s="3"/>
      <c r="AK88" s="3"/>
      <c r="AL88" s="3"/>
      <c r="AO88" s="3" t="s">
        <v>59</v>
      </c>
      <c r="AP88" s="6">
        <f>Q88</f>
      </c>
    </row>
    <row r="89" ht="18" customHeight="1" spans="1:42" x14ac:dyDescent="0.25">
      <c r="A89" s="3" t="s">
        <v>38</v>
      </c>
      <c r="B89" s="3" t="s">
        <v>39</v>
      </c>
      <c r="C89" s="3" t="s">
        <v>40</v>
      </c>
      <c r="D89" s="3" t="s">
        <v>41</v>
      </c>
      <c r="E89" s="3" t="s">
        <v>547</v>
      </c>
      <c r="F89" s="3" t="s">
        <v>561</v>
      </c>
      <c r="G89" s="3" t="s">
        <v>556</v>
      </c>
      <c r="H89" s="3" t="s">
        <v>562</v>
      </c>
      <c r="I89" s="3" t="s">
        <v>563</v>
      </c>
      <c r="J89" s="3" t="s">
        <v>559</v>
      </c>
      <c r="K89" s="5" t="s">
        <v>553</v>
      </c>
      <c r="L89" s="5" t="s">
        <v>67</v>
      </c>
      <c r="M89" s="5" t="s">
        <v>560</v>
      </c>
      <c r="N89" s="3" t="s">
        <v>67</v>
      </c>
      <c r="O89" s="6">
        <v>43383</v>
      </c>
      <c r="P89" s="6">
        <v>43430</v>
      </c>
      <c r="Q89" s="6">
        <f>P89-O89</f>
      </c>
      <c r="R89" s="7">
        <v>100</v>
      </c>
      <c r="S89" s="6">
        <f>IF(Q89-R89&lt;0,"0",Q89-R89)</f>
      </c>
      <c r="T89" s="6">
        <v>0</v>
      </c>
      <c r="U89" s="8">
        <v>46168.25</v>
      </c>
      <c r="V89" s="8">
        <v>46168.36633101852</v>
      </c>
      <c r="W89" s="9">
        <f>V89-U89</f>
      </c>
      <c r="X89" s="10">
        <v>0.125</v>
      </c>
      <c r="Y89" s="9">
        <f>IF(W89-X89&lt;0,"00:00:00",W89-X89)</f>
      </c>
      <c r="Z89" s="11">
        <v>145</v>
      </c>
      <c r="AA89" s="11">
        <v>6.9</v>
      </c>
      <c r="AB89" s="12">
        <f>Y89*Z89*24</f>
      </c>
      <c r="AC89" s="12">
        <f>S89*AA89</f>
      </c>
      <c r="AD89" s="12">
        <f>T89*AA89</f>
      </c>
      <c r="AE89" s="11">
        <v>690</v>
      </c>
      <c r="AF89" s="12">
        <v>0</v>
      </c>
      <c r="AG89" s="12">
        <f>SUM(AB89:AF89)</f>
      </c>
      <c r="AH89" s="3"/>
      <c r="AI89" s="3"/>
      <c r="AJ89" s="3"/>
      <c r="AK89" s="3"/>
      <c r="AL89" s="3"/>
      <c r="AO89" s="3" t="s">
        <v>59</v>
      </c>
      <c r="AP89" s="6">
        <f>Q89</f>
      </c>
    </row>
    <row r="90" ht="18" customHeight="1" spans="1:42" x14ac:dyDescent="0.25">
      <c r="A90" s="3" t="s">
        <v>38</v>
      </c>
      <c r="B90" s="3" t="s">
        <v>39</v>
      </c>
      <c r="C90" s="3" t="s">
        <v>40</v>
      </c>
      <c r="D90" s="3" t="s">
        <v>41</v>
      </c>
      <c r="E90" s="3" t="s">
        <v>564</v>
      </c>
      <c r="F90" s="3" t="s">
        <v>565</v>
      </c>
      <c r="G90" s="3" t="s">
        <v>566</v>
      </c>
      <c r="H90" s="3" t="s">
        <v>567</v>
      </c>
      <c r="I90" s="3" t="s">
        <v>442</v>
      </c>
      <c r="J90" s="3" t="s">
        <v>352</v>
      </c>
      <c r="K90" s="5" t="s">
        <v>353</v>
      </c>
      <c r="L90" s="5" t="s">
        <v>49</v>
      </c>
      <c r="M90" s="5" t="s">
        <v>68</v>
      </c>
      <c r="N90" s="4" t="s">
        <v>47</v>
      </c>
      <c r="O90" s="6">
        <v>5002</v>
      </c>
      <c r="P90" s="6">
        <v>5202</v>
      </c>
      <c r="Q90" s="6">
        <v>200</v>
      </c>
      <c r="R90" s="7">
        <v>200</v>
      </c>
      <c r="S90" s="6">
        <f>IF(Q90-R90&lt;0,"0",Q90-R90)</f>
      </c>
      <c r="T90" s="6">
        <v>0</v>
      </c>
      <c r="U90" s="8">
        <v>46167.743055555555</v>
      </c>
      <c r="V90" s="8">
        <v>46168.064293981486</v>
      </c>
      <c r="W90" s="9">
        <f>V90-U90</f>
      </c>
      <c r="X90" s="10">
        <v>0.20833333333333334</v>
      </c>
      <c r="Y90" s="9">
        <f>IF(W90-X90&lt;0,"00:00:00",W90-X90)</f>
      </c>
      <c r="Z90" s="11">
        <v>145</v>
      </c>
      <c r="AA90" s="11">
        <v>0</v>
      </c>
      <c r="AB90" s="12">
        <f>Y90*Z90*24</f>
      </c>
      <c r="AC90" s="12">
        <f>S90*AA90</f>
      </c>
      <c r="AD90" s="12">
        <f>T90*AA90</f>
      </c>
      <c r="AE90" s="11">
        <v>1380</v>
      </c>
      <c r="AF90" s="12">
        <v>35</v>
      </c>
      <c r="AG90" s="12">
        <f>SUM(AB90:AF90)</f>
      </c>
      <c r="AH90" s="3"/>
      <c r="AI90" s="3"/>
      <c r="AJ90" s="3"/>
      <c r="AK90" s="3"/>
      <c r="AL90" s="3"/>
      <c r="AO90" s="3" t="s">
        <v>568</v>
      </c>
      <c r="AP90" s="6">
        <f>Q90</f>
      </c>
    </row>
    <row r="91" ht="18" customHeight="1" spans="1:42" x14ac:dyDescent="0.25">
      <c r="A91" s="3" t="s">
        <v>38</v>
      </c>
      <c r="B91" s="3" t="s">
        <v>39</v>
      </c>
      <c r="C91" s="3" t="s">
        <v>40</v>
      </c>
      <c r="D91" s="3" t="s">
        <v>41</v>
      </c>
      <c r="E91" s="3" t="s">
        <v>123</v>
      </c>
      <c r="F91" s="3" t="s">
        <v>569</v>
      </c>
      <c r="G91" s="3" t="s">
        <v>570</v>
      </c>
      <c r="H91" s="3" t="s">
        <v>571</v>
      </c>
      <c r="I91" s="3" t="s">
        <v>141</v>
      </c>
      <c r="J91" s="3" t="s">
        <v>572</v>
      </c>
      <c r="K91" s="5" t="s">
        <v>169</v>
      </c>
      <c r="L91" s="5" t="s">
        <v>67</v>
      </c>
      <c r="M91" s="5" t="s">
        <v>573</v>
      </c>
      <c r="N91" s="3" t="s">
        <v>67</v>
      </c>
      <c r="O91" s="6">
        <v>32075</v>
      </c>
      <c r="P91" s="6">
        <v>32128</v>
      </c>
      <c r="Q91" s="6">
        <f>P91-O91</f>
      </c>
      <c r="R91" s="7">
        <v>100</v>
      </c>
      <c r="S91" s="6">
        <f>IF(Q91-R91&lt;0,"0",Q91-R91)</f>
      </c>
      <c r="T91" s="6">
        <v>0</v>
      </c>
      <c r="U91" s="8">
        <v>46168.27083333333</v>
      </c>
      <c r="V91" s="8">
        <v>46168.60616898148</v>
      </c>
      <c r="W91" s="9">
        <f>V91-U91</f>
      </c>
      <c r="X91" s="10">
        <v>0.125</v>
      </c>
      <c r="Y91" s="9">
        <f>IF(W91-X91&lt;0,"00:00:00",W91-X91)</f>
      </c>
      <c r="Z91" s="11">
        <v>145</v>
      </c>
      <c r="AA91" s="11">
        <v>6.9</v>
      </c>
      <c r="AB91" s="12">
        <f>Y91*Z91*24</f>
      </c>
      <c r="AC91" s="12">
        <f>S91*AA91</f>
      </c>
      <c r="AD91" s="12">
        <f>T91*AA91</f>
      </c>
      <c r="AE91" s="11">
        <v>690</v>
      </c>
      <c r="AF91" s="12">
        <v>0</v>
      </c>
      <c r="AG91" s="12">
        <f>SUM(AB91:AF91)</f>
      </c>
      <c r="AH91" s="3"/>
      <c r="AI91" s="3"/>
      <c r="AJ91" s="3"/>
      <c r="AK91" s="3"/>
      <c r="AL91" s="3"/>
      <c r="AO91" s="3" t="s">
        <v>59</v>
      </c>
      <c r="AP91" s="6">
        <f>Q91</f>
      </c>
    </row>
    <row r="92" ht="18" customHeight="1" spans="1:42" x14ac:dyDescent="0.25">
      <c r="A92" s="3" t="s">
        <v>38</v>
      </c>
      <c r="B92" s="3" t="s">
        <v>39</v>
      </c>
      <c r="C92" s="3" t="s">
        <v>40</v>
      </c>
      <c r="D92" s="3" t="s">
        <v>41</v>
      </c>
      <c r="E92" s="3" t="s">
        <v>123</v>
      </c>
      <c r="F92" s="3" t="s">
        <v>574</v>
      </c>
      <c r="G92" s="3" t="s">
        <v>575</v>
      </c>
      <c r="H92" s="3" t="s">
        <v>576</v>
      </c>
      <c r="I92" s="3" t="s">
        <v>127</v>
      </c>
      <c r="J92" s="3" t="s">
        <v>577</v>
      </c>
      <c r="K92" s="5" t="s">
        <v>578</v>
      </c>
      <c r="L92" s="5" t="s">
        <v>67</v>
      </c>
      <c r="M92" s="5" t="s">
        <v>169</v>
      </c>
      <c r="N92" s="3" t="s">
        <v>67</v>
      </c>
      <c r="O92" s="6">
        <v>23671</v>
      </c>
      <c r="P92" s="6">
        <v>23771</v>
      </c>
      <c r="Q92" s="6">
        <f>P92-O92</f>
      </c>
      <c r="R92" s="7">
        <v>100</v>
      </c>
      <c r="S92" s="6">
        <f>IF(Q92-R92&lt;0,"0",Q92-R92)</f>
      </c>
      <c r="T92" s="6">
        <v>0</v>
      </c>
      <c r="U92" s="8">
        <v>46168.54166666667</v>
      </c>
      <c r="V92" s="8">
        <v>46168.74212962963</v>
      </c>
      <c r="W92" s="9">
        <f>V92-U92</f>
      </c>
      <c r="X92" s="10">
        <v>0.125</v>
      </c>
      <c r="Y92" s="9">
        <f>IF(W92-X92&lt;0,"00:00:00",W92-X92)</f>
      </c>
      <c r="Z92" s="11">
        <v>145</v>
      </c>
      <c r="AA92" s="11">
        <v>6.9</v>
      </c>
      <c r="AB92" s="12">
        <f>Y92*Z92*24</f>
      </c>
      <c r="AC92" s="12">
        <f>S92*AA92</f>
      </c>
      <c r="AD92" s="12">
        <f>T92*AA92</f>
      </c>
      <c r="AE92" s="11">
        <v>690</v>
      </c>
      <c r="AF92" s="12">
        <v>0</v>
      </c>
      <c r="AG92" s="12">
        <f>SUM(AB92:AF92)</f>
      </c>
      <c r="AH92" s="3"/>
      <c r="AI92" s="3"/>
      <c r="AJ92" s="3"/>
      <c r="AK92" s="3"/>
      <c r="AL92" s="3"/>
      <c r="AO92" s="3" t="s">
        <v>59</v>
      </c>
      <c r="AP92" s="6">
        <f>Q92</f>
      </c>
    </row>
    <row r="93" ht="18" customHeight="1" spans="1:42" x14ac:dyDescent="0.25">
      <c r="A93" s="3" t="s">
        <v>38</v>
      </c>
      <c r="B93" s="3" t="s">
        <v>39</v>
      </c>
      <c r="C93" s="3" t="s">
        <v>40</v>
      </c>
      <c r="D93" s="3" t="s">
        <v>117</v>
      </c>
      <c r="E93" s="3" t="s">
        <v>60</v>
      </c>
      <c r="F93" s="3" t="s">
        <v>579</v>
      </c>
      <c r="G93" s="4" t="s">
        <v>47</v>
      </c>
      <c r="H93" s="3" t="s">
        <v>580</v>
      </c>
      <c r="I93" s="3" t="s">
        <v>311</v>
      </c>
      <c r="J93" s="3" t="s">
        <v>581</v>
      </c>
      <c r="K93" s="5" t="s">
        <v>79</v>
      </c>
      <c r="L93" s="5" t="s">
        <v>67</v>
      </c>
      <c r="M93" s="5" t="s">
        <v>68</v>
      </c>
      <c r="N93" s="4" t="s">
        <v>47</v>
      </c>
      <c r="O93" s="6">
        <v>0</v>
      </c>
      <c r="P93" s="6">
        <v>0</v>
      </c>
      <c r="Q93" s="6">
        <v>0</v>
      </c>
      <c r="R93" s="7">
        <v>200</v>
      </c>
      <c r="S93" s="6">
        <f>IF(Q93-R93&lt;0,"0",Q93-R93)</f>
      </c>
      <c r="T93" s="6">
        <v>0</v>
      </c>
      <c r="U93" s="8">
        <v>46168.25</v>
      </c>
      <c r="V93" s="8">
        <v>46168.25</v>
      </c>
      <c r="W93" s="9">
        <f>V93-U93</f>
      </c>
      <c r="X93" s="10">
        <v>0.25</v>
      </c>
      <c r="Y93" s="9">
        <f>IF(W93-X93&lt;0,"00:00:00",W93-X93)</f>
      </c>
      <c r="Z93" s="11">
        <v>145</v>
      </c>
      <c r="AA93" s="11">
        <v>0</v>
      </c>
      <c r="AB93" s="12">
        <f>Y93*Z93*24</f>
      </c>
      <c r="AC93" s="12">
        <f>S93*AA93</f>
      </c>
      <c r="AD93" s="12">
        <f>T93*AA93</f>
      </c>
      <c r="AE93" s="11">
        <v>690</v>
      </c>
      <c r="AF93" s="12">
        <v>0</v>
      </c>
      <c r="AG93" s="12">
        <f>SUM(AB93:AF93)</f>
      </c>
      <c r="AH93" s="3"/>
      <c r="AI93" s="3"/>
      <c r="AJ93" s="3"/>
      <c r="AK93" s="3"/>
      <c r="AL93" s="3"/>
      <c r="AO93" s="3" t="s">
        <v>80</v>
      </c>
      <c r="AP93" s="6">
        <f>Q93</f>
      </c>
    </row>
    <row r="94" ht="18" customHeight="1" spans="1:42" x14ac:dyDescent="0.25">
      <c r="A94" s="3" t="s">
        <v>38</v>
      </c>
      <c r="B94" s="3" t="s">
        <v>39</v>
      </c>
      <c r="C94" s="3" t="s">
        <v>40</v>
      </c>
      <c r="D94" s="3" t="s">
        <v>41</v>
      </c>
      <c r="E94" s="3" t="s">
        <v>81</v>
      </c>
      <c r="F94" s="3" t="s">
        <v>582</v>
      </c>
      <c r="G94" s="3" t="s">
        <v>583</v>
      </c>
      <c r="H94" s="3" t="s">
        <v>584</v>
      </c>
      <c r="I94" s="3" t="s">
        <v>585</v>
      </c>
      <c r="J94" s="3" t="s">
        <v>586</v>
      </c>
      <c r="K94" s="5" t="s">
        <v>587</v>
      </c>
      <c r="L94" s="5" t="s">
        <v>88</v>
      </c>
      <c r="M94" s="5" t="s">
        <v>588</v>
      </c>
      <c r="N94" s="3" t="s">
        <v>88</v>
      </c>
      <c r="O94" s="6">
        <v>252174</v>
      </c>
      <c r="P94" s="6">
        <v>252179</v>
      </c>
      <c r="Q94" s="6">
        <f>P94-O94</f>
      </c>
      <c r="R94" s="7">
        <v>100</v>
      </c>
      <c r="S94" s="6">
        <f>IF(Q94-R94&lt;0,"0",Q94-R94)</f>
      </c>
      <c r="T94" s="6">
        <v>0</v>
      </c>
      <c r="U94" s="8">
        <v>46167.875</v>
      </c>
      <c r="V94" s="8">
        <v>46167.89902777778</v>
      </c>
      <c r="W94" s="9">
        <f>V94-U94</f>
      </c>
      <c r="X94" s="10">
        <v>0.125</v>
      </c>
      <c r="Y94" s="9">
        <f>IF(W94-X94&lt;0,"00:00:00",W94-X94)</f>
      </c>
      <c r="Z94" s="11">
        <v>145</v>
      </c>
      <c r="AA94" s="11">
        <v>6.9</v>
      </c>
      <c r="AB94" s="12">
        <f>Y94*Z94*24</f>
      </c>
      <c r="AC94" s="12">
        <f>S94*AA94</f>
      </c>
      <c r="AD94" s="12">
        <f>T94*AA94</f>
      </c>
      <c r="AE94" s="11">
        <v>690</v>
      </c>
      <c r="AF94" s="12">
        <v>0</v>
      </c>
      <c r="AG94" s="12">
        <f>SUM(AB94:AF94)</f>
      </c>
      <c r="AH94" s="3"/>
      <c r="AI94" s="3"/>
      <c r="AJ94" s="3"/>
      <c r="AK94" s="3"/>
      <c r="AL94" s="3"/>
      <c r="AO94" s="3" t="s">
        <v>90</v>
      </c>
      <c r="AP94" s="6">
        <f>Q94</f>
      </c>
    </row>
    <row r="95" ht="18" customHeight="1" spans="1:42" x14ac:dyDescent="0.25">
      <c r="A95" s="3" t="s">
        <v>38</v>
      </c>
      <c r="B95" s="3" t="s">
        <v>39</v>
      </c>
      <c r="C95" s="3" t="s">
        <v>40</v>
      </c>
      <c r="D95" s="3" t="s">
        <v>41</v>
      </c>
      <c r="E95" s="3" t="s">
        <v>389</v>
      </c>
      <c r="F95" s="3" t="s">
        <v>589</v>
      </c>
      <c r="G95" s="3" t="s">
        <v>590</v>
      </c>
      <c r="H95" s="3" t="s">
        <v>591</v>
      </c>
      <c r="I95" s="3" t="s">
        <v>585</v>
      </c>
      <c r="J95" s="3" t="s">
        <v>592</v>
      </c>
      <c r="K95" s="5" t="s">
        <v>394</v>
      </c>
      <c r="L95" s="5" t="s">
        <v>88</v>
      </c>
      <c r="M95" s="5" t="s">
        <v>68</v>
      </c>
      <c r="N95" s="4" t="s">
        <v>47</v>
      </c>
      <c r="O95" s="6">
        <v>252211</v>
      </c>
      <c r="P95" s="6">
        <v>252411</v>
      </c>
      <c r="Q95" s="6">
        <v>200</v>
      </c>
      <c r="R95" s="7">
        <v>200</v>
      </c>
      <c r="S95" s="6">
        <f>IF(Q95-R95&lt;0,"0",Q95-R95)</f>
      </c>
      <c r="T95" s="6">
        <v>0</v>
      </c>
      <c r="U95" s="8">
        <v>46167.98611111111</v>
      </c>
      <c r="V95" s="8">
        <v>46168.099444444444</v>
      </c>
      <c r="W95" s="9">
        <f>V95-U95</f>
      </c>
      <c r="X95" s="10">
        <v>0.20833333333333334</v>
      </c>
      <c r="Y95" s="9">
        <f>IF(W95-X95&lt;0,"00:00:00",W95-X95)</f>
      </c>
      <c r="Z95" s="11">
        <v>145</v>
      </c>
      <c r="AA95" s="11">
        <v>0</v>
      </c>
      <c r="AB95" s="12">
        <f>Y95*Z95*24</f>
      </c>
      <c r="AC95" s="12">
        <f>S95*AA95</f>
      </c>
      <c r="AD95" s="12">
        <f>T95*AA95</f>
      </c>
      <c r="AE95" s="11">
        <v>1380</v>
      </c>
      <c r="AF95" s="12">
        <v>35</v>
      </c>
      <c r="AG95" s="12">
        <f>SUM(AB95:AF95)</f>
      </c>
      <c r="AH95" s="3"/>
      <c r="AI95" s="3"/>
      <c r="AJ95" s="3"/>
      <c r="AK95" s="3"/>
      <c r="AL95" s="3"/>
      <c r="AO95" s="3" t="s">
        <v>395</v>
      </c>
      <c r="AP95" s="6">
        <f>Q95</f>
      </c>
    </row>
    <row r="96" ht="18" customHeight="1" spans="1:42" x14ac:dyDescent="0.25">
      <c r="A96" s="3" t="s">
        <v>38</v>
      </c>
      <c r="B96" s="3" t="s">
        <v>39</v>
      </c>
      <c r="C96" s="3" t="s">
        <v>40</v>
      </c>
      <c r="D96" s="3" t="s">
        <v>41</v>
      </c>
      <c r="E96" s="3" t="s">
        <v>593</v>
      </c>
      <c r="F96" s="3" t="s">
        <v>594</v>
      </c>
      <c r="G96" s="3" t="s">
        <v>595</v>
      </c>
      <c r="H96" s="3" t="s">
        <v>596</v>
      </c>
      <c r="I96" s="3" t="s">
        <v>597</v>
      </c>
      <c r="J96" s="3" t="s">
        <v>598</v>
      </c>
      <c r="K96" s="5" t="s">
        <v>66</v>
      </c>
      <c r="L96" s="5" t="s">
        <v>67</v>
      </c>
      <c r="M96" s="5" t="s">
        <v>599</v>
      </c>
      <c r="N96" s="3" t="s">
        <v>336</v>
      </c>
      <c r="O96" s="6">
        <v>423304</v>
      </c>
      <c r="P96" s="6">
        <v>423712</v>
      </c>
      <c r="Q96" s="6">
        <f>P96-O96</f>
      </c>
      <c r="R96" s="7">
        <v>500</v>
      </c>
      <c r="S96" s="6">
        <f>IF(Q96-R96&lt;0,"0",Q96-R96)</f>
      </c>
      <c r="T96" s="6">
        <v>0</v>
      </c>
      <c r="U96" s="8">
        <v>46168</v>
      </c>
      <c r="V96" s="8">
        <v>46168.375185185185</v>
      </c>
      <c r="W96" s="9">
        <f>V96-U96</f>
      </c>
      <c r="X96" s="10">
        <v>0.4583333333333333</v>
      </c>
      <c r="Y96" s="9">
        <f>IF(W96-X96&lt;0,"00:00:00",W96-X96)</f>
      </c>
      <c r="Z96" s="11">
        <v>145</v>
      </c>
      <c r="AA96" s="11">
        <v>0</v>
      </c>
      <c r="AB96" s="12">
        <f>Y96*Z96*24</f>
      </c>
      <c r="AC96" s="12">
        <f>S96*AA96</f>
      </c>
      <c r="AD96" s="12">
        <f>T96*AA96</f>
      </c>
      <c r="AE96" s="11">
        <v>3450</v>
      </c>
      <c r="AF96" s="12">
        <v>35.2</v>
      </c>
      <c r="AG96" s="12">
        <f>SUM(AB96:AF96)</f>
      </c>
      <c r="AH96" s="3"/>
      <c r="AI96" s="3"/>
      <c r="AJ96" s="3"/>
      <c r="AK96" s="3"/>
      <c r="AL96" s="3"/>
      <c r="AO96" s="3" t="s">
        <v>600</v>
      </c>
      <c r="AP96" s="6">
        <f>Q96</f>
      </c>
    </row>
    <row r="97" ht="18" customHeight="1" spans="1:42" x14ac:dyDescent="0.25">
      <c r="A97" s="3" t="s">
        <v>38</v>
      </c>
      <c r="B97" s="3" t="s">
        <v>39</v>
      </c>
      <c r="C97" s="3" t="s">
        <v>40</v>
      </c>
      <c r="D97" s="3" t="s">
        <v>41</v>
      </c>
      <c r="E97" s="3" t="s">
        <v>123</v>
      </c>
      <c r="F97" s="3" t="s">
        <v>601</v>
      </c>
      <c r="G97" s="3" t="s">
        <v>602</v>
      </c>
      <c r="H97" s="3" t="s">
        <v>603</v>
      </c>
      <c r="I97" s="3" t="s">
        <v>127</v>
      </c>
      <c r="J97" s="3" t="s">
        <v>604</v>
      </c>
      <c r="K97" s="5" t="s">
        <v>169</v>
      </c>
      <c r="L97" s="5" t="s">
        <v>67</v>
      </c>
      <c r="M97" s="5" t="s">
        <v>605</v>
      </c>
      <c r="N97" s="3" t="s">
        <v>67</v>
      </c>
      <c r="O97" s="6">
        <v>23773</v>
      </c>
      <c r="P97" s="6">
        <v>23789</v>
      </c>
      <c r="Q97" s="6">
        <f>P97-O97</f>
      </c>
      <c r="R97" s="7">
        <v>100</v>
      </c>
      <c r="S97" s="6">
        <f>IF(Q97-R97&lt;0,"0",Q97-R97)</f>
      </c>
      <c r="T97" s="6">
        <v>0</v>
      </c>
      <c r="U97" s="8">
        <v>46168.875</v>
      </c>
      <c r="V97" s="8">
        <v>46169.02309027778</v>
      </c>
      <c r="W97" s="9">
        <f>V97-U97</f>
      </c>
      <c r="X97" s="10">
        <v>0.125</v>
      </c>
      <c r="Y97" s="9">
        <f>IF(W97-X97&lt;0,"00:00:00",W97-X97)</f>
      </c>
      <c r="Z97" s="11">
        <v>145</v>
      </c>
      <c r="AA97" s="11">
        <v>6.9</v>
      </c>
      <c r="AB97" s="12">
        <f>Y97*Z97*24</f>
      </c>
      <c r="AC97" s="12">
        <f>S97*AA97</f>
      </c>
      <c r="AD97" s="12">
        <f>T97*AA97</f>
      </c>
      <c r="AE97" s="11">
        <v>690</v>
      </c>
      <c r="AF97" s="12">
        <v>0</v>
      </c>
      <c r="AG97" s="12">
        <f>SUM(AB97:AF97)</f>
      </c>
      <c r="AH97" s="3"/>
      <c r="AI97" s="3"/>
      <c r="AJ97" s="3"/>
      <c r="AK97" s="3"/>
      <c r="AL97" s="3"/>
      <c r="AO97" s="3" t="s">
        <v>59</v>
      </c>
      <c r="AP97" s="6">
        <f>Q97</f>
      </c>
    </row>
    <row r="98" ht="18" customHeight="1" spans="1:42" x14ac:dyDescent="0.25">
      <c r="A98" s="3" t="s">
        <v>38</v>
      </c>
      <c r="B98" s="3" t="s">
        <v>39</v>
      </c>
      <c r="C98" s="3" t="s">
        <v>40</v>
      </c>
      <c r="D98" s="3" t="s">
        <v>41</v>
      </c>
      <c r="E98" s="3" t="s">
        <v>283</v>
      </c>
      <c r="F98" s="3" t="s">
        <v>606</v>
      </c>
      <c r="G98" s="3" t="s">
        <v>607</v>
      </c>
      <c r="H98" s="3" t="s">
        <v>608</v>
      </c>
      <c r="I98" s="3" t="s">
        <v>609</v>
      </c>
      <c r="J98" s="3" t="s">
        <v>610</v>
      </c>
      <c r="K98" s="5" t="s">
        <v>553</v>
      </c>
      <c r="L98" s="5" t="s">
        <v>67</v>
      </c>
      <c r="M98" s="5" t="s">
        <v>611</v>
      </c>
      <c r="N98" s="3" t="s">
        <v>67</v>
      </c>
      <c r="O98" s="6">
        <v>40309</v>
      </c>
      <c r="P98" s="6">
        <v>40351</v>
      </c>
      <c r="Q98" s="6">
        <f>P98-O98</f>
      </c>
      <c r="R98" s="7">
        <v>100</v>
      </c>
      <c r="S98" s="6">
        <f>IF(Q98-R98&lt;0,"0",Q98-R98)</f>
      </c>
      <c r="T98" s="6">
        <v>0</v>
      </c>
      <c r="U98" s="8">
        <v>46169.41666666667</v>
      </c>
      <c r="V98" s="8">
        <v>46169.52688657407</v>
      </c>
      <c r="W98" s="9">
        <f>V98-U98</f>
      </c>
      <c r="X98" s="10">
        <v>0.125</v>
      </c>
      <c r="Y98" s="9">
        <f>IF(W98-X98&lt;0,"00:00:00",W98-X98)</f>
      </c>
      <c r="Z98" s="11">
        <v>145</v>
      </c>
      <c r="AA98" s="11">
        <v>6.9</v>
      </c>
      <c r="AB98" s="12">
        <f>Y98*Z98*24</f>
      </c>
      <c r="AC98" s="12">
        <f>S98*AA98</f>
      </c>
      <c r="AD98" s="12">
        <f>T98*AA98</f>
      </c>
      <c r="AE98" s="11">
        <v>690</v>
      </c>
      <c r="AF98" s="12">
        <v>13.6</v>
      </c>
      <c r="AG98" s="12">
        <f>SUM(AB98:AF98)</f>
      </c>
      <c r="AH98" s="3"/>
      <c r="AI98" s="3"/>
      <c r="AJ98" s="3"/>
      <c r="AK98" s="3"/>
      <c r="AL98" s="3"/>
      <c r="AO98" s="3" t="s">
        <v>59</v>
      </c>
      <c r="AP98" s="6">
        <f>Q98</f>
      </c>
    </row>
    <row r="99" ht="18" customHeight="1" spans="1:42" x14ac:dyDescent="0.25">
      <c r="A99" s="3" t="s">
        <v>38</v>
      </c>
      <c r="B99" s="3" t="s">
        <v>39</v>
      </c>
      <c r="C99" s="3" t="s">
        <v>40</v>
      </c>
      <c r="D99" s="3" t="s">
        <v>41</v>
      </c>
      <c r="E99" s="3" t="s">
        <v>612</v>
      </c>
      <c r="F99" s="3" t="s">
        <v>613</v>
      </c>
      <c r="G99" s="3" t="s">
        <v>614</v>
      </c>
      <c r="H99" s="3" t="s">
        <v>615</v>
      </c>
      <c r="I99" s="3" t="s">
        <v>442</v>
      </c>
      <c r="J99" s="3" t="s">
        <v>616</v>
      </c>
      <c r="K99" s="5" t="s">
        <v>169</v>
      </c>
      <c r="L99" s="5" t="s">
        <v>67</v>
      </c>
      <c r="M99" s="5" t="s">
        <v>617</v>
      </c>
      <c r="N99" s="3" t="s">
        <v>122</v>
      </c>
      <c r="O99" s="6">
        <v>5653</v>
      </c>
      <c r="P99" s="6">
        <v>6258</v>
      </c>
      <c r="Q99" s="6">
        <f>P99-O99</f>
      </c>
      <c r="R99" s="7">
        <v>600</v>
      </c>
      <c r="S99" s="6">
        <f>IF(Q99-R99&lt;0,"0",Q99-R99)</f>
      </c>
      <c r="T99" s="6">
        <v>0</v>
      </c>
      <c r="U99" s="8">
        <v>46169.29166666667</v>
      </c>
      <c r="V99" s="8">
        <v>46170.301157407404</v>
      </c>
      <c r="W99" s="9">
        <f>V99-U99</f>
      </c>
      <c r="X99" s="10">
        <v>0.625</v>
      </c>
      <c r="Y99" s="9">
        <f>IF(W99-X99&lt;0,"00:00:00",W99-X99)</f>
      </c>
      <c r="Z99" s="11">
        <v>145</v>
      </c>
      <c r="AA99" s="11">
        <v>6.9</v>
      </c>
      <c r="AB99" s="12">
        <f>Y99*Z99*24</f>
      </c>
      <c r="AC99" s="12">
        <f>S99*AA99</f>
      </c>
      <c r="AD99" s="12">
        <f>T99*AA99</f>
      </c>
      <c r="AE99" s="11">
        <v>4140</v>
      </c>
      <c r="AF99" s="12">
        <v>29.6</v>
      </c>
      <c r="AG99" s="12">
        <f>SUM(AB99:AF99)</f>
      </c>
      <c r="AH99" s="3"/>
      <c r="AI99" s="3"/>
      <c r="AJ99" s="3"/>
      <c r="AK99" s="3"/>
      <c r="AL99" s="3"/>
      <c r="AO99" s="3" t="s">
        <v>618</v>
      </c>
      <c r="AP99" s="6">
        <f>Q99</f>
      </c>
    </row>
    <row r="100" ht="18" customHeight="1" spans="1:42" x14ac:dyDescent="0.25">
      <c r="A100" s="3" t="s">
        <v>38</v>
      </c>
      <c r="B100" s="3" t="s">
        <v>39</v>
      </c>
      <c r="C100" s="3" t="s">
        <v>40</v>
      </c>
      <c r="D100" s="3" t="s">
        <v>41</v>
      </c>
      <c r="E100" s="3" t="s">
        <v>619</v>
      </c>
      <c r="F100" s="3" t="s">
        <v>620</v>
      </c>
      <c r="G100" s="3" t="s">
        <v>621</v>
      </c>
      <c r="H100" s="3" t="s">
        <v>622</v>
      </c>
      <c r="I100" s="3" t="s">
        <v>216</v>
      </c>
      <c r="J100" s="3" t="s">
        <v>623</v>
      </c>
      <c r="K100" s="5" t="s">
        <v>169</v>
      </c>
      <c r="L100" s="5" t="s">
        <v>67</v>
      </c>
      <c r="M100" s="5" t="s">
        <v>624</v>
      </c>
      <c r="N100" s="3" t="s">
        <v>250</v>
      </c>
      <c r="O100" s="6">
        <v>21992</v>
      </c>
      <c r="P100" s="6">
        <v>23002</v>
      </c>
      <c r="Q100" s="6">
        <f>P100-O100</f>
      </c>
      <c r="R100" s="7">
        <v>1000</v>
      </c>
      <c r="S100" s="6">
        <f>IF(Q100-R100&lt;0,"0",Q100-R100)</f>
      </c>
      <c r="T100" s="6">
        <v>0</v>
      </c>
      <c r="U100" s="8">
        <v>46169.29166666667</v>
      </c>
      <c r="V100" s="8">
        <v>46171.393055555556</v>
      </c>
      <c r="W100" s="9">
        <f>V100-U100</f>
      </c>
      <c r="X100" s="10">
        <v>1.0416666666666667</v>
      </c>
      <c r="Y100" s="9">
        <f>IF(W100-X100&lt;0,"00:00:00",W100-X100)</f>
      </c>
      <c r="Z100" s="11">
        <v>145</v>
      </c>
      <c r="AA100" s="11">
        <v>6.9</v>
      </c>
      <c r="AB100" s="12">
        <f>Y100*Z100*24</f>
      </c>
      <c r="AC100" s="12">
        <f>S100*AA100</f>
      </c>
      <c r="AD100" s="12">
        <f>T100*AA100</f>
      </c>
      <c r="AE100" s="11">
        <v>6900</v>
      </c>
      <c r="AF100" s="12">
        <v>180.31</v>
      </c>
      <c r="AG100" s="12">
        <f>SUM(AB100:AF100)</f>
      </c>
      <c r="AH100" s="3"/>
      <c r="AI100" s="3"/>
      <c r="AJ100" s="3"/>
      <c r="AK100" s="3"/>
      <c r="AL100" s="3"/>
      <c r="AO100" s="3" t="s">
        <v>402</v>
      </c>
      <c r="AP100" s="6">
        <f>Q100</f>
      </c>
    </row>
    <row r="101" ht="18" customHeight="1" spans="1:42" x14ac:dyDescent="0.25">
      <c r="A101" s="3" t="s">
        <v>38</v>
      </c>
      <c r="B101" s="3" t="s">
        <v>39</v>
      </c>
      <c r="C101" s="3" t="s">
        <v>40</v>
      </c>
      <c r="D101" s="3" t="s">
        <v>41</v>
      </c>
      <c r="E101" s="3" t="s">
        <v>275</v>
      </c>
      <c r="F101" s="3" t="s">
        <v>625</v>
      </c>
      <c r="G101" s="3" t="s">
        <v>626</v>
      </c>
      <c r="H101" s="3" t="s">
        <v>627</v>
      </c>
      <c r="I101" s="3" t="s">
        <v>279</v>
      </c>
      <c r="J101" s="3" t="s">
        <v>628</v>
      </c>
      <c r="K101" s="5" t="s">
        <v>629</v>
      </c>
      <c r="L101" s="5" t="s">
        <v>98</v>
      </c>
      <c r="M101" s="5" t="s">
        <v>630</v>
      </c>
      <c r="N101" s="3" t="s">
        <v>98</v>
      </c>
      <c r="O101" s="6">
        <v>65142</v>
      </c>
      <c r="P101" s="6">
        <v>65149</v>
      </c>
      <c r="Q101" s="6">
        <f>P101-O101</f>
      </c>
      <c r="R101" s="7">
        <v>100</v>
      </c>
      <c r="S101" s="6">
        <f>IF(Q101-R101&lt;0,"0",Q101-R101)</f>
      </c>
      <c r="T101" s="6">
        <v>0</v>
      </c>
      <c r="U101" s="8">
        <v>46169.34583333333</v>
      </c>
      <c r="V101" s="8">
        <v>46169.3978125</v>
      </c>
      <c r="W101" s="9">
        <f>V101-U101</f>
      </c>
      <c r="X101" s="10">
        <v>0.125</v>
      </c>
      <c r="Y101" s="9">
        <f>IF(W101-X101&lt;0,"00:00:00",W101-X101)</f>
      </c>
      <c r="Z101" s="11">
        <v>145</v>
      </c>
      <c r="AA101" s="11">
        <v>6.9</v>
      </c>
      <c r="AB101" s="12">
        <f>Y101*Z101*24</f>
      </c>
      <c r="AC101" s="12">
        <f>S101*AA101</f>
      </c>
      <c r="AD101" s="12">
        <f>T101*AA101</f>
      </c>
      <c r="AE101" s="11">
        <v>690</v>
      </c>
      <c r="AF101" s="12">
        <v>0</v>
      </c>
      <c r="AG101" s="12">
        <f>SUM(AB101:AF101)</f>
      </c>
      <c r="AH101" s="3"/>
      <c r="AI101" s="3"/>
      <c r="AJ101" s="3"/>
      <c r="AK101" s="3"/>
      <c r="AL101" s="3"/>
      <c r="AO101" s="3" t="s">
        <v>59</v>
      </c>
      <c r="AP101" s="6">
        <f>Q101</f>
      </c>
    </row>
    <row r="102" ht="18" customHeight="1" spans="1:42" x14ac:dyDescent="0.25">
      <c r="A102" s="3" t="s">
        <v>38</v>
      </c>
      <c r="B102" s="3" t="s">
        <v>39</v>
      </c>
      <c r="C102" s="3" t="s">
        <v>40</v>
      </c>
      <c r="D102" s="3" t="s">
        <v>41</v>
      </c>
      <c r="E102" s="3" t="s">
        <v>60</v>
      </c>
      <c r="F102" s="3" t="s">
        <v>631</v>
      </c>
      <c r="G102" s="3" t="s">
        <v>632</v>
      </c>
      <c r="H102" s="3" t="s">
        <v>633</v>
      </c>
      <c r="I102" s="3" t="s">
        <v>199</v>
      </c>
      <c r="J102" s="3" t="s">
        <v>477</v>
      </c>
      <c r="K102" s="5" t="s">
        <v>66</v>
      </c>
      <c r="L102" s="5" t="s">
        <v>67</v>
      </c>
      <c r="M102" s="5" t="s">
        <v>68</v>
      </c>
      <c r="N102" s="4" t="s">
        <v>47</v>
      </c>
      <c r="O102" s="6">
        <v>201238</v>
      </c>
      <c r="P102" s="6">
        <v>201440</v>
      </c>
      <c r="Q102" s="6">
        <v>200</v>
      </c>
      <c r="R102" s="7">
        <v>300</v>
      </c>
      <c r="S102" s="6">
        <f>IF(Q102-R102&lt;0,"0",Q102-R102)</f>
      </c>
      <c r="T102" s="6">
        <v>0</v>
      </c>
      <c r="U102" s="8">
        <v>46169.04861111111</v>
      </c>
      <c r="V102" s="8">
        <v>46169.157222222224</v>
      </c>
      <c r="W102" s="9">
        <f>V102-U102</f>
      </c>
      <c r="X102" s="10">
        <v>0.2916666666666667</v>
      </c>
      <c r="Y102" s="9">
        <f>IF(W102-X102&lt;0,"00:00:00",W102-X102)</f>
      </c>
      <c r="Z102" s="11">
        <v>145</v>
      </c>
      <c r="AA102" s="11">
        <v>0</v>
      </c>
      <c r="AB102" s="12">
        <f>Y102*Z102*24</f>
      </c>
      <c r="AC102" s="12">
        <f>S102*AA102</f>
      </c>
      <c r="AD102" s="12">
        <f>T102*AA102</f>
      </c>
      <c r="AE102" s="11">
        <v>2070</v>
      </c>
      <c r="AF102" s="12">
        <v>35</v>
      </c>
      <c r="AG102" s="12">
        <f>SUM(AB102:AF102)</f>
      </c>
      <c r="AH102" s="3"/>
      <c r="AI102" s="3"/>
      <c r="AJ102" s="3"/>
      <c r="AK102" s="3"/>
      <c r="AL102" s="3"/>
      <c r="AO102" s="3" t="s">
        <v>634</v>
      </c>
      <c r="AP102" s="6">
        <f>Q102</f>
      </c>
    </row>
    <row r="103" ht="18" customHeight="1" spans="1:42" x14ac:dyDescent="0.25">
      <c r="A103" s="3" t="s">
        <v>38</v>
      </c>
      <c r="B103" s="3" t="s">
        <v>39</v>
      </c>
      <c r="C103" s="3" t="s">
        <v>40</v>
      </c>
      <c r="D103" s="3" t="s">
        <v>41</v>
      </c>
      <c r="E103" s="3" t="s">
        <v>123</v>
      </c>
      <c r="F103" s="3" t="s">
        <v>635</v>
      </c>
      <c r="G103" s="3" t="s">
        <v>636</v>
      </c>
      <c r="H103" s="3" t="s">
        <v>637</v>
      </c>
      <c r="I103" s="3" t="s">
        <v>466</v>
      </c>
      <c r="J103" s="3" t="s">
        <v>638</v>
      </c>
      <c r="K103" s="5" t="s">
        <v>66</v>
      </c>
      <c r="L103" s="5" t="s">
        <v>67</v>
      </c>
      <c r="M103" s="5" t="s">
        <v>639</v>
      </c>
      <c r="N103" s="3" t="s">
        <v>67</v>
      </c>
      <c r="O103" s="6">
        <v>14677</v>
      </c>
      <c r="P103" s="6">
        <v>14714</v>
      </c>
      <c r="Q103" s="6">
        <f>P103-O103</f>
      </c>
      <c r="R103" s="7">
        <v>100</v>
      </c>
      <c r="S103" s="6">
        <f>IF(Q103-R103&lt;0,"0",Q103-R103)</f>
      </c>
      <c r="T103" s="6">
        <v>0</v>
      </c>
      <c r="U103" s="8">
        <v>46169.194444444445</v>
      </c>
      <c r="V103" s="8">
        <v>46169.235671296294</v>
      </c>
      <c r="W103" s="9">
        <f>V103-U103</f>
      </c>
      <c r="X103" s="10">
        <v>0.125</v>
      </c>
      <c r="Y103" s="9">
        <f>IF(W103-X103&lt;0,"00:00:00",W103-X103)</f>
      </c>
      <c r="Z103" s="11">
        <v>145</v>
      </c>
      <c r="AA103" s="11">
        <v>6.9</v>
      </c>
      <c r="AB103" s="12">
        <f>Y103*Z103*24</f>
      </c>
      <c r="AC103" s="12">
        <f>S103*AA103</f>
      </c>
      <c r="AD103" s="12">
        <f>T103*AA103</f>
      </c>
      <c r="AE103" s="11">
        <v>690</v>
      </c>
      <c r="AF103" s="12">
        <v>9.4</v>
      </c>
      <c r="AG103" s="12">
        <f>SUM(AB103:AF103)</f>
      </c>
      <c r="AH103" s="3"/>
      <c r="AI103" s="3"/>
      <c r="AJ103" s="3"/>
      <c r="AK103" s="3"/>
      <c r="AL103" s="3"/>
      <c r="AO103" s="3" t="s">
        <v>59</v>
      </c>
      <c r="AP103" s="6">
        <f>Q103</f>
      </c>
    </row>
    <row r="104" ht="18" customHeight="1" spans="1:42" x14ac:dyDescent="0.25">
      <c r="A104" s="3" t="s">
        <v>38</v>
      </c>
      <c r="B104" s="3" t="s">
        <v>39</v>
      </c>
      <c r="C104" s="3" t="s">
        <v>40</v>
      </c>
      <c r="D104" s="3" t="s">
        <v>41</v>
      </c>
      <c r="E104" s="3" t="s">
        <v>123</v>
      </c>
      <c r="F104" s="3" t="s">
        <v>640</v>
      </c>
      <c r="G104" s="3" t="s">
        <v>641</v>
      </c>
      <c r="H104" s="3" t="s">
        <v>642</v>
      </c>
      <c r="I104" s="3" t="s">
        <v>228</v>
      </c>
      <c r="J104" s="3" t="s">
        <v>643</v>
      </c>
      <c r="K104" s="5" t="s">
        <v>644</v>
      </c>
      <c r="L104" s="5" t="s">
        <v>67</v>
      </c>
      <c r="M104" s="5" t="s">
        <v>645</v>
      </c>
      <c r="N104" s="3" t="s">
        <v>67</v>
      </c>
      <c r="O104" s="6">
        <v>97814</v>
      </c>
      <c r="P104" s="6">
        <v>97871</v>
      </c>
      <c r="Q104" s="6">
        <f>P104-O104</f>
      </c>
      <c r="R104" s="7">
        <v>100</v>
      </c>
      <c r="S104" s="6">
        <f>IF(Q104-R104&lt;0,"0",Q104-R104)</f>
      </c>
      <c r="T104" s="6">
        <v>0</v>
      </c>
      <c r="U104" s="8">
        <v>46169.25</v>
      </c>
      <c r="V104" s="8">
        <v>46169.331238425926</v>
      </c>
      <c r="W104" s="9">
        <f>V104-U104</f>
      </c>
      <c r="X104" s="10">
        <v>0.125</v>
      </c>
      <c r="Y104" s="9">
        <f>IF(W104-X104&lt;0,"00:00:00",W104-X104)</f>
      </c>
      <c r="Z104" s="11">
        <v>145</v>
      </c>
      <c r="AA104" s="11">
        <v>6.9</v>
      </c>
      <c r="AB104" s="12">
        <f>Y104*Z104*24</f>
      </c>
      <c r="AC104" s="12">
        <f>S104*AA104</f>
      </c>
      <c r="AD104" s="12">
        <f>T104*AA104</f>
      </c>
      <c r="AE104" s="11">
        <v>690</v>
      </c>
      <c r="AF104" s="12">
        <v>25.7</v>
      </c>
      <c r="AG104" s="12">
        <f>SUM(AB104:AF104)</f>
      </c>
      <c r="AH104" s="3"/>
      <c r="AI104" s="3"/>
      <c r="AJ104" s="3"/>
      <c r="AK104" s="3"/>
      <c r="AL104" s="3"/>
      <c r="AO104" s="3" t="s">
        <v>59</v>
      </c>
      <c r="AP104" s="6">
        <f>Q104</f>
      </c>
    </row>
    <row r="105" ht="18" customHeight="1" spans="1:42" x14ac:dyDescent="0.25">
      <c r="A105" s="3" t="s">
        <v>38</v>
      </c>
      <c r="B105" s="3" t="s">
        <v>39</v>
      </c>
      <c r="C105" s="3" t="s">
        <v>40</v>
      </c>
      <c r="D105" s="3" t="s">
        <v>41</v>
      </c>
      <c r="E105" s="3" t="s">
        <v>646</v>
      </c>
      <c r="F105" s="3" t="s">
        <v>647</v>
      </c>
      <c r="G105" s="3" t="s">
        <v>648</v>
      </c>
      <c r="H105" s="3" t="s">
        <v>649</v>
      </c>
      <c r="I105" s="3" t="s">
        <v>127</v>
      </c>
      <c r="J105" s="3" t="s">
        <v>650</v>
      </c>
      <c r="K105" s="5" t="s">
        <v>169</v>
      </c>
      <c r="L105" s="5" t="s">
        <v>67</v>
      </c>
      <c r="M105" s="5" t="s">
        <v>651</v>
      </c>
      <c r="N105" s="3" t="s">
        <v>345</v>
      </c>
      <c r="O105" s="6">
        <v>23822</v>
      </c>
      <c r="P105" s="6">
        <v>26539</v>
      </c>
      <c r="Q105" s="6">
        <f>P105-O105</f>
      </c>
      <c r="R105" s="7">
        <v>2700</v>
      </c>
      <c r="S105" s="6">
        <f>IF(Q105-R105&lt;0,"0",Q105-R105)</f>
      </c>
      <c r="T105" s="6">
        <v>0</v>
      </c>
      <c r="U105" s="8">
        <v>46170.20833333333</v>
      </c>
      <c r="V105" s="8">
        <v>46174.56266203704</v>
      </c>
      <c r="W105" s="9">
        <f>V105-U105</f>
      </c>
      <c r="X105" s="10">
        <v>3.75</v>
      </c>
      <c r="Y105" s="9">
        <f>IF(W105-X105&lt;0,"00:00:00",W105-X105)</f>
      </c>
      <c r="Z105" s="11">
        <v>145</v>
      </c>
      <c r="AA105" s="11">
        <v>6.9</v>
      </c>
      <c r="AB105" s="12">
        <f>Y105*Z105*24</f>
      </c>
      <c r="AC105" s="12">
        <f>S105*AA105</f>
      </c>
      <c r="AD105" s="12">
        <f>T105*AA105</f>
      </c>
      <c r="AE105" s="11">
        <v>22635.93</v>
      </c>
      <c r="AF105" s="12">
        <v>29.5</v>
      </c>
      <c r="AG105" s="12">
        <f>SUM(AB105:AF105)</f>
      </c>
      <c r="AH105" s="3"/>
      <c r="AI105" s="3"/>
      <c r="AJ105" s="3"/>
      <c r="AK105" s="3"/>
      <c r="AL105" s="3"/>
      <c r="AO105" s="3" t="s">
        <v>652</v>
      </c>
      <c r="AP105" s="6">
        <f>Q105</f>
      </c>
    </row>
    <row r="106" ht="18" customHeight="1" spans="1:42" x14ac:dyDescent="0.25">
      <c r="A106" s="3" t="s">
        <v>38</v>
      </c>
      <c r="B106" s="3" t="s">
        <v>39</v>
      </c>
      <c r="C106" s="3" t="s">
        <v>40</v>
      </c>
      <c r="D106" s="3" t="s">
        <v>41</v>
      </c>
      <c r="E106" s="3" t="s">
        <v>653</v>
      </c>
      <c r="F106" s="3" t="s">
        <v>654</v>
      </c>
      <c r="G106" s="3" t="s">
        <v>655</v>
      </c>
      <c r="H106" s="3" t="s">
        <v>656</v>
      </c>
      <c r="I106" s="3" t="s">
        <v>657</v>
      </c>
      <c r="J106" s="3" t="s">
        <v>658</v>
      </c>
      <c r="K106" s="5" t="s">
        <v>629</v>
      </c>
      <c r="L106" s="5" t="s">
        <v>98</v>
      </c>
      <c r="M106" s="5" t="s">
        <v>659</v>
      </c>
      <c r="N106" s="3" t="s">
        <v>98</v>
      </c>
      <c r="O106" s="6">
        <v>178738</v>
      </c>
      <c r="P106" s="6">
        <v>178751</v>
      </c>
      <c r="Q106" s="6">
        <v>200</v>
      </c>
      <c r="R106" s="7">
        <v>200</v>
      </c>
      <c r="S106" s="6">
        <f>IF(Q106-R106&lt;0,"0",Q106-R106)</f>
      </c>
      <c r="T106" s="6">
        <v>0</v>
      </c>
      <c r="U106" s="8">
        <v>46170.35416666667</v>
      </c>
      <c r="V106" s="8">
        <v>46170.49079861111</v>
      </c>
      <c r="W106" s="9">
        <f>V106-U106</f>
      </c>
      <c r="X106" s="10">
        <v>0.25</v>
      </c>
      <c r="Y106" s="9">
        <f>IF(W106-X106&lt;0,"00:00:00",W106-X106)</f>
      </c>
      <c r="Z106" s="11">
        <v>145</v>
      </c>
      <c r="AA106" s="11">
        <v>0</v>
      </c>
      <c r="AB106" s="12">
        <f>Y106*Z106*24</f>
      </c>
      <c r="AC106" s="12">
        <f>S106*AA106</f>
      </c>
      <c r="AD106" s="12">
        <f>T106*AA106</f>
      </c>
      <c r="AE106" s="11">
        <v>1380</v>
      </c>
      <c r="AF106" s="12">
        <v>0</v>
      </c>
      <c r="AG106" s="12">
        <f>SUM(AB106:AF106)</f>
      </c>
      <c r="AH106" s="3"/>
      <c r="AI106" s="3"/>
      <c r="AJ106" s="3"/>
      <c r="AK106" s="3"/>
      <c r="AL106" s="3"/>
      <c r="AO106" s="3" t="s">
        <v>80</v>
      </c>
      <c r="AP106" s="6">
        <f>Q106</f>
      </c>
    </row>
    <row r="107" ht="18" customHeight="1" spans="1:42" x14ac:dyDescent="0.25">
      <c r="A107" s="3" t="s">
        <v>38</v>
      </c>
      <c r="B107" s="3" t="s">
        <v>39</v>
      </c>
      <c r="C107" s="3" t="s">
        <v>40</v>
      </c>
      <c r="D107" s="3" t="s">
        <v>41</v>
      </c>
      <c r="E107" s="3" t="s">
        <v>118</v>
      </c>
      <c r="F107" s="3" t="s">
        <v>660</v>
      </c>
      <c r="G107" s="3" t="s">
        <v>661</v>
      </c>
      <c r="H107" s="3" t="s">
        <v>662</v>
      </c>
      <c r="I107" s="3" t="s">
        <v>482</v>
      </c>
      <c r="J107" s="3" t="s">
        <v>663</v>
      </c>
      <c r="K107" s="5" t="s">
        <v>664</v>
      </c>
      <c r="L107" s="5" t="s">
        <v>122</v>
      </c>
      <c r="M107" s="5" t="s">
        <v>665</v>
      </c>
      <c r="N107" s="3" t="s">
        <v>67</v>
      </c>
      <c r="O107" s="6">
        <v>98265</v>
      </c>
      <c r="P107" s="6">
        <v>98367</v>
      </c>
      <c r="Q107" s="6">
        <v>300</v>
      </c>
      <c r="R107" s="7">
        <v>300</v>
      </c>
      <c r="S107" s="6">
        <f>IF(Q107-R107&lt;0,"0",Q107-R107)</f>
      </c>
      <c r="T107" s="6">
        <v>0</v>
      </c>
      <c r="U107" s="8">
        <v>46169.84027777778</v>
      </c>
      <c r="V107" s="8">
        <v>46169.95013888889</v>
      </c>
      <c r="W107" s="9">
        <f>V107-U107</f>
      </c>
      <c r="X107" s="10">
        <v>0.2916666666666667</v>
      </c>
      <c r="Y107" s="9">
        <f>IF(W107-X107&lt;0,"00:00:00",W107-X107)</f>
      </c>
      <c r="Z107" s="11">
        <v>145</v>
      </c>
      <c r="AA107" s="11">
        <v>0</v>
      </c>
      <c r="AB107" s="12">
        <f>Y107*Z107*24</f>
      </c>
      <c r="AC107" s="12">
        <f>S107*AA107</f>
      </c>
      <c r="AD107" s="12">
        <f>T107*AA107</f>
      </c>
      <c r="AE107" s="11">
        <v>2070</v>
      </c>
      <c r="AF107" s="12">
        <v>7.4</v>
      </c>
      <c r="AG107" s="12">
        <f>SUM(AB107:AF107)</f>
      </c>
      <c r="AH107" s="3"/>
      <c r="AI107" s="3"/>
      <c r="AJ107" s="3"/>
      <c r="AK107" s="3"/>
      <c r="AL107" s="3"/>
      <c r="AO107" s="3" t="s">
        <v>100</v>
      </c>
      <c r="AP107" s="6">
        <f>Q107</f>
      </c>
    </row>
    <row r="108" ht="18" customHeight="1" spans="1:42" x14ac:dyDescent="0.25">
      <c r="A108" s="3" t="s">
        <v>38</v>
      </c>
      <c r="B108" s="3" t="s">
        <v>39</v>
      </c>
      <c r="C108" s="3" t="s">
        <v>40</v>
      </c>
      <c r="D108" s="3" t="s">
        <v>41</v>
      </c>
      <c r="E108" s="3" t="s">
        <v>118</v>
      </c>
      <c r="F108" s="3" t="s">
        <v>666</v>
      </c>
      <c r="G108" s="3" t="s">
        <v>661</v>
      </c>
      <c r="H108" s="3" t="s">
        <v>667</v>
      </c>
      <c r="I108" s="3" t="s">
        <v>482</v>
      </c>
      <c r="J108" s="3" t="s">
        <v>663</v>
      </c>
      <c r="K108" s="5" t="s">
        <v>664</v>
      </c>
      <c r="L108" s="5" t="s">
        <v>122</v>
      </c>
      <c r="M108" s="5" t="s">
        <v>665</v>
      </c>
      <c r="N108" s="3" t="s">
        <v>67</v>
      </c>
      <c r="O108" s="6">
        <v>252178</v>
      </c>
      <c r="P108" s="6">
        <v>252289</v>
      </c>
      <c r="Q108" s="6">
        <v>300</v>
      </c>
      <c r="R108" s="7">
        <v>300</v>
      </c>
      <c r="S108" s="6">
        <f>IF(Q108-R108&lt;0,"0",Q108-R108)</f>
      </c>
      <c r="T108" s="6">
        <v>0</v>
      </c>
      <c r="U108" s="8">
        <v>46169.84027777778</v>
      </c>
      <c r="V108" s="8">
        <v>46169.95196759259</v>
      </c>
      <c r="W108" s="9">
        <f>V108-U108</f>
      </c>
      <c r="X108" s="10">
        <v>0.2916666666666667</v>
      </c>
      <c r="Y108" s="9">
        <f>IF(W108-X108&lt;0,"00:00:00",W108-X108)</f>
      </c>
      <c r="Z108" s="11">
        <v>145</v>
      </c>
      <c r="AA108" s="11">
        <v>0</v>
      </c>
      <c r="AB108" s="12">
        <f>Y108*Z108*24</f>
      </c>
      <c r="AC108" s="12">
        <f>S108*AA108</f>
      </c>
      <c r="AD108" s="12">
        <f>T108*AA108</f>
      </c>
      <c r="AE108" s="11">
        <v>2070</v>
      </c>
      <c r="AF108" s="12">
        <v>7.4</v>
      </c>
      <c r="AG108" s="12">
        <f>SUM(AB108:AF108)</f>
      </c>
      <c r="AH108" s="3"/>
      <c r="AI108" s="3"/>
      <c r="AJ108" s="3"/>
      <c r="AK108" s="3"/>
      <c r="AL108" s="3"/>
      <c r="AO108" s="3" t="s">
        <v>100</v>
      </c>
      <c r="AP108" s="6">
        <f>Q108</f>
      </c>
    </row>
    <row r="109" ht="18" customHeight="1" spans="1:42" x14ac:dyDescent="0.25">
      <c r="A109" s="3" t="s">
        <v>38</v>
      </c>
      <c r="B109" s="3" t="s">
        <v>39</v>
      </c>
      <c r="C109" s="3" t="s">
        <v>40</v>
      </c>
      <c r="D109" s="3" t="s">
        <v>41</v>
      </c>
      <c r="E109" s="3" t="s">
        <v>150</v>
      </c>
      <c r="F109" s="3" t="s">
        <v>668</v>
      </c>
      <c r="G109" s="3" t="s">
        <v>669</v>
      </c>
      <c r="H109" s="3" t="s">
        <v>670</v>
      </c>
      <c r="I109" s="3" t="s">
        <v>134</v>
      </c>
      <c r="J109" s="3" t="s">
        <v>671</v>
      </c>
      <c r="K109" s="5" t="s">
        <v>672</v>
      </c>
      <c r="L109" s="5" t="s">
        <v>122</v>
      </c>
      <c r="M109" s="5" t="s">
        <v>68</v>
      </c>
      <c r="N109" s="4" t="s">
        <v>47</v>
      </c>
      <c r="O109" s="6">
        <v>125959</v>
      </c>
      <c r="P109" s="6">
        <v>126207</v>
      </c>
      <c r="Q109" s="6">
        <v>200</v>
      </c>
      <c r="R109" s="7">
        <v>200</v>
      </c>
      <c r="S109" s="6">
        <f>IF(Q109-R109&lt;0,"0",Q109-R109)</f>
      </c>
      <c r="T109" s="6">
        <v>0</v>
      </c>
      <c r="U109" s="8">
        <v>46169.85416666667</v>
      </c>
      <c r="V109" s="8">
        <v>46170.04153935185</v>
      </c>
      <c r="W109" s="9">
        <f>V109-U109</f>
      </c>
      <c r="X109" s="10">
        <v>0.25</v>
      </c>
      <c r="Y109" s="9">
        <f>IF(W109-X109&lt;0,"00:00:00",W109-X109)</f>
      </c>
      <c r="Z109" s="11">
        <v>145</v>
      </c>
      <c r="AA109" s="11">
        <v>0</v>
      </c>
      <c r="AB109" s="12">
        <f>Y109*Z109*24</f>
      </c>
      <c r="AC109" s="12">
        <f>S109*AA109</f>
      </c>
      <c r="AD109" s="12">
        <f>T109*AA109</f>
      </c>
      <c r="AE109" s="11">
        <v>1380</v>
      </c>
      <c r="AF109" s="12">
        <v>35</v>
      </c>
      <c r="AG109" s="12">
        <f>SUM(AB109:AF109)</f>
      </c>
      <c r="AH109" s="3"/>
      <c r="AI109" s="3"/>
      <c r="AJ109" s="3"/>
      <c r="AK109" s="3"/>
      <c r="AL109" s="3"/>
      <c r="AO109" s="3" t="s">
        <v>80</v>
      </c>
      <c r="AP109" s="6">
        <f>Q109</f>
      </c>
    </row>
    <row r="110" ht="18" customHeight="1" spans="1:42" x14ac:dyDescent="0.25">
      <c r="A110" s="3" t="s">
        <v>38</v>
      </c>
      <c r="B110" s="3" t="s">
        <v>39</v>
      </c>
      <c r="C110" s="3" t="s">
        <v>40</v>
      </c>
      <c r="D110" s="3" t="s">
        <v>117</v>
      </c>
      <c r="E110" s="3" t="s">
        <v>673</v>
      </c>
      <c r="F110" s="3" t="s">
        <v>674</v>
      </c>
      <c r="G110" s="3" t="s">
        <v>675</v>
      </c>
      <c r="H110" s="3" t="s">
        <v>676</v>
      </c>
      <c r="I110" s="3" t="s">
        <v>677</v>
      </c>
      <c r="J110" s="3" t="s">
        <v>678</v>
      </c>
      <c r="K110" s="5" t="s">
        <v>679</v>
      </c>
      <c r="L110" s="5" t="s">
        <v>67</v>
      </c>
      <c r="M110" s="5" t="s">
        <v>680</v>
      </c>
      <c r="N110" s="3" t="s">
        <v>122</v>
      </c>
      <c r="O110" s="6">
        <v>0</v>
      </c>
      <c r="P110" s="6">
        <v>0</v>
      </c>
      <c r="Q110" s="6">
        <v>0</v>
      </c>
      <c r="R110" s="7">
        <v>34</v>
      </c>
      <c r="S110" s="6">
        <f>IF(Q110-R110&lt;0,"0",Q110-R110)</f>
      </c>
      <c r="T110" s="6">
        <v>0</v>
      </c>
      <c r="U110" s="8">
        <v>46170.41666666667</v>
      </c>
      <c r="V110" s="8">
        <v>46170.41666666667</v>
      </c>
      <c r="W110" s="9">
        <f>V110-U110</f>
      </c>
      <c r="X110" s="10">
        <v>0.125</v>
      </c>
      <c r="Y110" s="9">
        <f>IF(W110-X110&lt;0,"00:00:00",W110-X110)</f>
      </c>
      <c r="Z110" s="11">
        <v>145</v>
      </c>
      <c r="AA110" s="11">
        <v>0</v>
      </c>
      <c r="AB110" s="12">
        <f>Y110*Z110*24</f>
      </c>
      <c r="AC110" s="12">
        <f>S110*AA110</f>
      </c>
      <c r="AD110" s="12">
        <f>T110*AA110</f>
      </c>
      <c r="AE110" s="11">
        <v>690</v>
      </c>
      <c r="AF110" s="12">
        <v>0</v>
      </c>
      <c r="AG110" s="12">
        <f>SUM(AB110:AF110)</f>
      </c>
      <c r="AH110" s="3"/>
      <c r="AI110" s="3"/>
      <c r="AJ110" s="3"/>
      <c r="AK110" s="3"/>
      <c r="AL110" s="3"/>
      <c r="AO110" s="3" t="s">
        <v>315</v>
      </c>
      <c r="AP110" s="6">
        <f>Q110</f>
      </c>
    </row>
    <row r="111" ht="18" customHeight="1" spans="1:42" x14ac:dyDescent="0.25">
      <c r="A111" s="3" t="s">
        <v>38</v>
      </c>
      <c r="B111" s="3" t="s">
        <v>39</v>
      </c>
      <c r="C111" s="3" t="s">
        <v>40</v>
      </c>
      <c r="D111" s="3" t="s">
        <v>117</v>
      </c>
      <c r="E111" s="3" t="s">
        <v>673</v>
      </c>
      <c r="F111" s="3" t="s">
        <v>681</v>
      </c>
      <c r="G111" s="3" t="s">
        <v>675</v>
      </c>
      <c r="H111" s="3" t="s">
        <v>682</v>
      </c>
      <c r="I111" s="3" t="s">
        <v>188</v>
      </c>
      <c r="J111" s="3" t="s">
        <v>678</v>
      </c>
      <c r="K111" s="5" t="s">
        <v>679</v>
      </c>
      <c r="L111" s="5" t="s">
        <v>67</v>
      </c>
      <c r="M111" s="5" t="s">
        <v>680</v>
      </c>
      <c r="N111" s="3" t="s">
        <v>122</v>
      </c>
      <c r="O111" s="6">
        <v>0</v>
      </c>
      <c r="P111" s="6">
        <v>0</v>
      </c>
      <c r="Q111" s="6">
        <v>0</v>
      </c>
      <c r="R111" s="7">
        <v>100</v>
      </c>
      <c r="S111" s="6">
        <f>IF(Q111-R111&lt;0,"0",Q111-R111)</f>
      </c>
      <c r="T111" s="6">
        <v>0</v>
      </c>
      <c r="U111" s="8">
        <v>46170.41666666667</v>
      </c>
      <c r="V111" s="8">
        <v>46170.41666666667</v>
      </c>
      <c r="W111" s="9">
        <f>V111-U111</f>
      </c>
      <c r="X111" s="10">
        <v>0.125</v>
      </c>
      <c r="Y111" s="9">
        <f>IF(W111-X111&lt;0,"00:00:00",W111-X111)</f>
      </c>
      <c r="Z111" s="11">
        <v>145</v>
      </c>
      <c r="AA111" s="11">
        <v>0</v>
      </c>
      <c r="AB111" s="12">
        <f>Y111*Z111*24</f>
      </c>
      <c r="AC111" s="12">
        <f>S111*AA111</f>
      </c>
      <c r="AD111" s="12">
        <f>T111*AA111</f>
      </c>
      <c r="AE111" s="11">
        <v>690</v>
      </c>
      <c r="AF111" s="12">
        <v>0</v>
      </c>
      <c r="AG111" s="12">
        <f>SUM(AB111:AF111)</f>
      </c>
      <c r="AH111" s="3"/>
      <c r="AI111" s="3"/>
      <c r="AJ111" s="3"/>
      <c r="AK111" s="3"/>
      <c r="AL111" s="3"/>
      <c r="AO111" s="3" t="s">
        <v>69</v>
      </c>
      <c r="AP111" s="6">
        <f>Q111</f>
      </c>
    </row>
    <row r="112" ht="18" customHeight="1" spans="1:42" x14ac:dyDescent="0.25">
      <c r="A112" s="3" t="s">
        <v>38</v>
      </c>
      <c r="B112" s="3" t="s">
        <v>39</v>
      </c>
      <c r="C112" s="3" t="s">
        <v>40</v>
      </c>
      <c r="D112" s="3" t="s">
        <v>41</v>
      </c>
      <c r="E112" s="3" t="s">
        <v>673</v>
      </c>
      <c r="F112" s="3" t="s">
        <v>683</v>
      </c>
      <c r="G112" s="3" t="s">
        <v>684</v>
      </c>
      <c r="H112" s="3" t="s">
        <v>685</v>
      </c>
      <c r="I112" s="3" t="s">
        <v>686</v>
      </c>
      <c r="J112" s="3" t="s">
        <v>687</v>
      </c>
      <c r="K112" s="5" t="s">
        <v>679</v>
      </c>
      <c r="L112" s="5" t="s">
        <v>67</v>
      </c>
      <c r="M112" s="5" t="s">
        <v>680</v>
      </c>
      <c r="N112" s="3" t="s">
        <v>122</v>
      </c>
      <c r="O112" s="6">
        <v>11915</v>
      </c>
      <c r="P112" s="6">
        <v>12042</v>
      </c>
      <c r="Q112" s="6">
        <f>P112-O112</f>
      </c>
      <c r="R112" s="7">
        <v>100</v>
      </c>
      <c r="S112" s="6">
        <f>IF(Q112-R112&lt;0,"0",Q112-R112)</f>
      </c>
      <c r="T112" s="6">
        <v>0</v>
      </c>
      <c r="U112" s="8">
        <v>46170.41666666667</v>
      </c>
      <c r="V112" s="8">
        <v>46170.66142361111</v>
      </c>
      <c r="W112" s="9">
        <f>V112-U112</f>
      </c>
      <c r="X112" s="10">
        <v>0.125</v>
      </c>
      <c r="Y112" s="9">
        <f>IF(W112-X112&lt;0,"00:00:00",W112-X112)</f>
      </c>
      <c r="Z112" s="11">
        <v>145</v>
      </c>
      <c r="AA112" s="11">
        <v>6.9</v>
      </c>
      <c r="AB112" s="12">
        <f>Y112*Z112*24</f>
      </c>
      <c r="AC112" s="12">
        <f>S112*AA112</f>
      </c>
      <c r="AD112" s="12">
        <f>T112*AA112</f>
      </c>
      <c r="AE112" s="11">
        <v>690</v>
      </c>
      <c r="AF112" s="12">
        <v>37.3</v>
      </c>
      <c r="AG112" s="12">
        <f>SUM(AB112:AF112)</f>
      </c>
      <c r="AH112" s="3"/>
      <c r="AI112" s="3"/>
      <c r="AJ112" s="3"/>
      <c r="AK112" s="3"/>
      <c r="AL112" s="3"/>
      <c r="AO112" s="3" t="s">
        <v>59</v>
      </c>
      <c r="AP112" s="6">
        <f>Q112</f>
      </c>
    </row>
    <row r="113" ht="18" customHeight="1" spans="1:42" x14ac:dyDescent="0.25">
      <c r="A113" s="3" t="s">
        <v>38</v>
      </c>
      <c r="B113" s="3" t="s">
        <v>39</v>
      </c>
      <c r="C113" s="3" t="s">
        <v>40</v>
      </c>
      <c r="D113" s="3" t="s">
        <v>117</v>
      </c>
      <c r="E113" s="3" t="s">
        <v>60</v>
      </c>
      <c r="F113" s="3" t="s">
        <v>688</v>
      </c>
      <c r="G113" s="3" t="s">
        <v>689</v>
      </c>
      <c r="H113" s="3" t="s">
        <v>690</v>
      </c>
      <c r="I113" s="3" t="s">
        <v>199</v>
      </c>
      <c r="J113" s="4" t="s">
        <v>47</v>
      </c>
      <c r="K113" s="5" t="s">
        <v>66</v>
      </c>
      <c r="L113" s="5" t="s">
        <v>67</v>
      </c>
      <c r="M113" s="5" t="s">
        <v>68</v>
      </c>
      <c r="N113" s="4" t="s">
        <v>47</v>
      </c>
      <c r="O113" s="6">
        <v>0</v>
      </c>
      <c r="P113" s="6">
        <v>0</v>
      </c>
      <c r="Q113" s="6">
        <v>0</v>
      </c>
      <c r="R113" s="7">
        <v>200</v>
      </c>
      <c r="S113" s="6">
        <f>IF(Q113-R113&lt;0,"0",Q113-R113)</f>
      </c>
      <c r="T113" s="6">
        <v>0</v>
      </c>
      <c r="U113" s="8">
        <v>46170.04166666667</v>
      </c>
      <c r="V113" s="8">
        <v>46170.04166666667</v>
      </c>
      <c r="W113" s="9">
        <f>V113-U113</f>
      </c>
      <c r="X113" s="10">
        <v>0.25</v>
      </c>
      <c r="Y113" s="9">
        <f>IF(W113-X113&lt;0,"00:00:00",W113-X113)</f>
      </c>
      <c r="Z113" s="11">
        <v>145</v>
      </c>
      <c r="AA113" s="11">
        <v>0</v>
      </c>
      <c r="AB113" s="12">
        <f>Y113*Z113*24</f>
      </c>
      <c r="AC113" s="12">
        <f>S113*AA113</f>
      </c>
      <c r="AD113" s="12">
        <f>T113*AA113</f>
      </c>
      <c r="AE113" s="11">
        <v>690</v>
      </c>
      <c r="AF113" s="12">
        <v>0</v>
      </c>
      <c r="AG113" s="12">
        <f>SUM(AB113:AF113)</f>
      </c>
      <c r="AH113" s="3"/>
      <c r="AI113" s="3"/>
      <c r="AJ113" s="3"/>
      <c r="AK113" s="3"/>
      <c r="AL113" s="3"/>
      <c r="AO113" s="3" t="s">
        <v>80</v>
      </c>
      <c r="AP113" s="6">
        <f>Q113</f>
      </c>
    </row>
    <row r="114" ht="18" customHeight="1" spans="1:42" x14ac:dyDescent="0.25">
      <c r="A114" s="3" t="s">
        <v>38</v>
      </c>
      <c r="B114" s="3" t="s">
        <v>39</v>
      </c>
      <c r="C114" s="3" t="s">
        <v>40</v>
      </c>
      <c r="D114" s="3" t="s">
        <v>41</v>
      </c>
      <c r="E114" s="3" t="s">
        <v>157</v>
      </c>
      <c r="F114" s="3" t="s">
        <v>691</v>
      </c>
      <c r="G114" s="3" t="s">
        <v>692</v>
      </c>
      <c r="H114" s="3" t="s">
        <v>693</v>
      </c>
      <c r="I114" s="3" t="s">
        <v>694</v>
      </c>
      <c r="J114" s="3" t="s">
        <v>695</v>
      </c>
      <c r="K114" s="5" t="s">
        <v>696</v>
      </c>
      <c r="L114" s="5" t="s">
        <v>49</v>
      </c>
      <c r="M114" s="5" t="s">
        <v>697</v>
      </c>
      <c r="N114" s="3" t="s">
        <v>336</v>
      </c>
      <c r="O114" s="6">
        <v>75935</v>
      </c>
      <c r="P114" s="6">
        <v>76135</v>
      </c>
      <c r="Q114" s="6">
        <v>500</v>
      </c>
      <c r="R114" s="7">
        <v>500</v>
      </c>
      <c r="S114" s="6">
        <f>IF(Q114-R114&lt;0,"0",Q114-R114)</f>
      </c>
      <c r="T114" s="6">
        <v>0</v>
      </c>
      <c r="U114" s="8">
        <v>46170.83333333333</v>
      </c>
      <c r="V114" s="8">
        <v>46171.116111111114</v>
      </c>
      <c r="W114" s="9">
        <f>V114-U114</f>
      </c>
      <c r="X114" s="10">
        <v>0.4583333333333333</v>
      </c>
      <c r="Y114" s="9">
        <f>IF(W114-X114&lt;0,"00:00:00",W114-X114)</f>
      </c>
      <c r="Z114" s="11">
        <v>145</v>
      </c>
      <c r="AA114" s="11">
        <v>0</v>
      </c>
      <c r="AB114" s="12">
        <f>Y114*Z114*24</f>
      </c>
      <c r="AC114" s="12">
        <f>S114*AA114</f>
      </c>
      <c r="AD114" s="12">
        <f>T114*AA114</f>
      </c>
      <c r="AE114" s="11">
        <v>3450</v>
      </c>
      <c r="AF114" s="12">
        <v>35</v>
      </c>
      <c r="AG114" s="12">
        <f>SUM(AB114:AF114)</f>
      </c>
      <c r="AH114" s="3"/>
      <c r="AI114" s="3"/>
      <c r="AJ114" s="3"/>
      <c r="AK114" s="3"/>
      <c r="AL114" s="3"/>
      <c r="AO114" s="3" t="s">
        <v>164</v>
      </c>
      <c r="AP114" s="6">
        <f>Q114</f>
      </c>
    </row>
    <row r="115" ht="18" customHeight="1" spans="1:42" x14ac:dyDescent="0.25">
      <c r="A115" s="3" t="s">
        <v>38</v>
      </c>
      <c r="B115" s="3" t="s">
        <v>39</v>
      </c>
      <c r="C115" s="3" t="s">
        <v>40</v>
      </c>
      <c r="D115" s="3" t="s">
        <v>41</v>
      </c>
      <c r="E115" s="3" t="s">
        <v>60</v>
      </c>
      <c r="F115" s="3" t="s">
        <v>698</v>
      </c>
      <c r="G115" s="3" t="s">
        <v>699</v>
      </c>
      <c r="H115" s="3" t="s">
        <v>700</v>
      </c>
      <c r="I115" s="3" t="s">
        <v>701</v>
      </c>
      <c r="J115" s="3" t="s">
        <v>517</v>
      </c>
      <c r="K115" s="5" t="s">
        <v>79</v>
      </c>
      <c r="L115" s="5" t="s">
        <v>67</v>
      </c>
      <c r="M115" s="5" t="s">
        <v>68</v>
      </c>
      <c r="N115" s="4" t="s">
        <v>47</v>
      </c>
      <c r="O115" s="6">
        <v>354349</v>
      </c>
      <c r="P115" s="6">
        <v>354425</v>
      </c>
      <c r="Q115" s="6">
        <v>200</v>
      </c>
      <c r="R115" s="7">
        <v>200</v>
      </c>
      <c r="S115" s="6">
        <f>IF(Q115-R115&lt;0,"0",Q115-R115)</f>
      </c>
      <c r="T115" s="6">
        <v>0</v>
      </c>
      <c r="U115" s="8">
        <v>46170.97916666667</v>
      </c>
      <c r="V115" s="8">
        <v>46170.99638888889</v>
      </c>
      <c r="W115" s="9">
        <f>V115-U115</f>
      </c>
      <c r="X115" s="10">
        <v>0.25</v>
      </c>
      <c r="Y115" s="9">
        <f>IF(W115-X115&lt;0,"00:00:00",W115-X115)</f>
      </c>
      <c r="Z115" s="11">
        <v>145</v>
      </c>
      <c r="AA115" s="11">
        <v>0</v>
      </c>
      <c r="AB115" s="12">
        <f>Y115*Z115*24</f>
      </c>
      <c r="AC115" s="12">
        <f>S115*AA115</f>
      </c>
      <c r="AD115" s="12">
        <f>T115*AA115</f>
      </c>
      <c r="AE115" s="11">
        <v>1380</v>
      </c>
      <c r="AF115" s="12">
        <v>10.9</v>
      </c>
      <c r="AG115" s="12">
        <f>SUM(AB115:AF115)</f>
      </c>
      <c r="AH115" s="3"/>
      <c r="AI115" s="3"/>
      <c r="AJ115" s="3"/>
      <c r="AK115" s="3"/>
      <c r="AL115" s="3"/>
      <c r="AO115" s="3" t="s">
        <v>80</v>
      </c>
      <c r="AP115" s="6">
        <f>Q115</f>
      </c>
    </row>
    <row r="116" ht="18" customHeight="1" spans="1:42" x14ac:dyDescent="0.25">
      <c r="A116" s="3" t="s">
        <v>38</v>
      </c>
      <c r="B116" s="3" t="s">
        <v>39</v>
      </c>
      <c r="C116" s="3" t="s">
        <v>40</v>
      </c>
      <c r="D116" s="3" t="s">
        <v>41</v>
      </c>
      <c r="E116" s="3" t="s">
        <v>702</v>
      </c>
      <c r="F116" s="3" t="s">
        <v>703</v>
      </c>
      <c r="G116" s="3" t="s">
        <v>704</v>
      </c>
      <c r="H116" s="3" t="s">
        <v>705</v>
      </c>
      <c r="I116" s="3" t="s">
        <v>228</v>
      </c>
      <c r="J116" s="3" t="s">
        <v>706</v>
      </c>
      <c r="K116" s="5" t="s">
        <v>169</v>
      </c>
      <c r="L116" s="5" t="s">
        <v>67</v>
      </c>
      <c r="M116" s="5" t="s">
        <v>707</v>
      </c>
      <c r="N116" s="3" t="s">
        <v>336</v>
      </c>
      <c r="O116" s="6">
        <v>98670</v>
      </c>
      <c r="P116" s="6">
        <v>99105</v>
      </c>
      <c r="Q116" s="6">
        <f>P116-O116</f>
      </c>
      <c r="R116" s="7">
        <v>400</v>
      </c>
      <c r="S116" s="6">
        <f>IF(Q116-R116&lt;0,"0",Q116-R116)</f>
      </c>
      <c r="T116" s="6">
        <v>0</v>
      </c>
      <c r="U116" s="8">
        <v>46171.006944444445</v>
      </c>
      <c r="V116" s="8">
        <v>46171.3491550926</v>
      </c>
      <c r="W116" s="9">
        <f>V116-U116</f>
      </c>
      <c r="X116" s="10">
        <v>0.4166666666666667</v>
      </c>
      <c r="Y116" s="9">
        <f>IF(W116-X116&lt;0,"00:00:00",W116-X116)</f>
      </c>
      <c r="Z116" s="11">
        <v>145</v>
      </c>
      <c r="AA116" s="11">
        <v>6.9</v>
      </c>
      <c r="AB116" s="12">
        <f>Y116*Z116*24</f>
      </c>
      <c r="AC116" s="12">
        <f>S116*AA116</f>
      </c>
      <c r="AD116" s="12">
        <f>T116*AA116</f>
      </c>
      <c r="AE116" s="11">
        <v>2760</v>
      </c>
      <c r="AF116" s="12">
        <v>34.9</v>
      </c>
      <c r="AG116" s="12">
        <f>SUM(AB116:AF116)</f>
      </c>
      <c r="AH116" s="3"/>
      <c r="AI116" s="3"/>
      <c r="AJ116" s="3"/>
      <c r="AK116" s="3"/>
      <c r="AL116" s="3"/>
      <c r="AO116" s="3" t="s">
        <v>708</v>
      </c>
      <c r="AP116" s="6">
        <f>Q116</f>
      </c>
    </row>
    <row r="117" ht="18" customHeight="1" spans="1:42" x14ac:dyDescent="0.25">
      <c r="A117" s="3" t="s">
        <v>38</v>
      </c>
      <c r="B117" s="3" t="s">
        <v>39</v>
      </c>
      <c r="C117" s="3" t="s">
        <v>40</v>
      </c>
      <c r="D117" s="3" t="s">
        <v>41</v>
      </c>
      <c r="E117" s="3" t="s">
        <v>528</v>
      </c>
      <c r="F117" s="3" t="s">
        <v>709</v>
      </c>
      <c r="G117" s="3" t="s">
        <v>710</v>
      </c>
      <c r="H117" s="3" t="s">
        <v>711</v>
      </c>
      <c r="I117" s="3" t="s">
        <v>712</v>
      </c>
      <c r="J117" s="3" t="s">
        <v>713</v>
      </c>
      <c r="K117" s="5" t="s">
        <v>327</v>
      </c>
      <c r="L117" s="5" t="s">
        <v>108</v>
      </c>
      <c r="M117" s="5" t="s">
        <v>68</v>
      </c>
      <c r="N117" s="4" t="s">
        <v>47</v>
      </c>
      <c r="O117" s="6">
        <v>222902</v>
      </c>
      <c r="P117" s="6">
        <v>222921</v>
      </c>
      <c r="Q117" s="6">
        <v>200</v>
      </c>
      <c r="R117" s="7">
        <v>100</v>
      </c>
      <c r="S117" s="6">
        <f>IF(Q117-R117&lt;0,"0",Q117-R117)</f>
      </c>
      <c r="T117" s="6">
        <v>0</v>
      </c>
      <c r="U117" s="8">
        <v>46171.20833333333</v>
      </c>
      <c r="V117" s="8">
        <v>46171.261354166665</v>
      </c>
      <c r="W117" s="9">
        <f>V117-U117</f>
      </c>
      <c r="X117" s="10">
        <v>0.125</v>
      </c>
      <c r="Y117" s="9">
        <f>IF(W117-X117&lt;0,"00:00:00",W117-X117)</f>
      </c>
      <c r="Z117" s="11">
        <v>145</v>
      </c>
      <c r="AA117" s="11">
        <v>0</v>
      </c>
      <c r="AB117" s="12">
        <f>Y117*Z117*24</f>
      </c>
      <c r="AC117" s="12">
        <f>S117*AA117</f>
      </c>
      <c r="AD117" s="12">
        <f>T117*AA117</f>
      </c>
      <c r="AE117" s="11">
        <v>735</v>
      </c>
      <c r="AF117" s="12">
        <v>0</v>
      </c>
      <c r="AG117" s="12">
        <f>SUM(AB117:AF117)</f>
      </c>
      <c r="AH117" s="3"/>
      <c r="AI117" s="3"/>
      <c r="AJ117" s="3"/>
      <c r="AK117" s="3"/>
      <c r="AL117" s="3"/>
      <c r="AO117" s="3" t="s">
        <v>242</v>
      </c>
      <c r="AP117" s="6">
        <f>Q117</f>
      </c>
    </row>
    <row r="118" ht="18" customHeight="1" spans="1:42" x14ac:dyDescent="0.25">
      <c r="A118" s="3" t="s">
        <v>38</v>
      </c>
      <c r="B118" s="3" t="s">
        <v>39</v>
      </c>
      <c r="C118" s="3" t="s">
        <v>40</v>
      </c>
      <c r="D118" s="3" t="s">
        <v>41</v>
      </c>
      <c r="E118" s="3" t="s">
        <v>123</v>
      </c>
      <c r="F118" s="3" t="s">
        <v>714</v>
      </c>
      <c r="G118" s="3" t="s">
        <v>715</v>
      </c>
      <c r="H118" s="3" t="s">
        <v>716</v>
      </c>
      <c r="I118" s="3" t="s">
        <v>188</v>
      </c>
      <c r="J118" s="3" t="s">
        <v>717</v>
      </c>
      <c r="K118" s="5" t="s">
        <v>169</v>
      </c>
      <c r="L118" s="5" t="s">
        <v>67</v>
      </c>
      <c r="M118" s="5" t="s">
        <v>79</v>
      </c>
      <c r="N118" s="3" t="s">
        <v>67</v>
      </c>
      <c r="O118" s="6">
        <v>29424</v>
      </c>
      <c r="P118" s="6">
        <v>29513</v>
      </c>
      <c r="Q118" s="6">
        <f>P118-O118</f>
      </c>
      <c r="R118" s="7">
        <v>100</v>
      </c>
      <c r="S118" s="6">
        <f>IF(Q118-R118&lt;0,"0",Q118-R118)</f>
      </c>
      <c r="T118" s="6">
        <v>0</v>
      </c>
      <c r="U118" s="8">
        <v>46171.5625</v>
      </c>
      <c r="V118" s="8">
        <v>46171.739953703705</v>
      </c>
      <c r="W118" s="9">
        <f>V118-U118</f>
      </c>
      <c r="X118" s="10">
        <v>0.125</v>
      </c>
      <c r="Y118" s="9">
        <f>IF(W118-X118&lt;0,"00:00:00",W118-X118)</f>
      </c>
      <c r="Z118" s="11">
        <v>145</v>
      </c>
      <c r="AA118" s="11">
        <v>6.9</v>
      </c>
      <c r="AB118" s="12">
        <f>Y118*Z118*24</f>
      </c>
      <c r="AC118" s="12">
        <f>S118*AA118</f>
      </c>
      <c r="AD118" s="12">
        <f>T118*AA118</f>
      </c>
      <c r="AE118" s="11">
        <v>690</v>
      </c>
      <c r="AF118" s="12">
        <v>5.9</v>
      </c>
      <c r="AG118" s="12">
        <f>SUM(AB118:AF118)</f>
      </c>
      <c r="AH118" s="3"/>
      <c r="AI118" s="3"/>
      <c r="AJ118" s="3"/>
      <c r="AK118" s="3"/>
      <c r="AL118" s="3"/>
      <c r="AO118" s="3" t="s">
        <v>59</v>
      </c>
      <c r="AP118" s="6">
        <f>Q118</f>
      </c>
    </row>
    <row r="119" ht="18" customHeight="1" spans="1:42" x14ac:dyDescent="0.25">
      <c r="A119" s="3" t="s">
        <v>38</v>
      </c>
      <c r="B119" s="3" t="s">
        <v>39</v>
      </c>
      <c r="C119" s="3" t="s">
        <v>40</v>
      </c>
      <c r="D119" s="3" t="s">
        <v>41</v>
      </c>
      <c r="E119" s="3" t="s">
        <v>101</v>
      </c>
      <c r="F119" s="3" t="s">
        <v>718</v>
      </c>
      <c r="G119" s="3" t="s">
        <v>719</v>
      </c>
      <c r="H119" s="3" t="s">
        <v>720</v>
      </c>
      <c r="I119" s="3" t="s">
        <v>105</v>
      </c>
      <c r="J119" s="3" t="s">
        <v>539</v>
      </c>
      <c r="K119" s="5" t="s">
        <v>436</v>
      </c>
      <c r="L119" s="5" t="s">
        <v>108</v>
      </c>
      <c r="M119" s="5" t="s">
        <v>327</v>
      </c>
      <c r="N119" s="3" t="s">
        <v>108</v>
      </c>
      <c r="O119" s="6">
        <v>186617</v>
      </c>
      <c r="P119" s="6">
        <v>186642</v>
      </c>
      <c r="Q119" s="6">
        <f>P119-O119</f>
      </c>
      <c r="R119" s="7">
        <v>100</v>
      </c>
      <c r="S119" s="6">
        <f>IF(Q119-R119&lt;0,"0",Q119-R119)</f>
      </c>
      <c r="T119" s="6">
        <v>0</v>
      </c>
      <c r="U119" s="8">
        <v>46171.57291666667</v>
      </c>
      <c r="V119" s="8">
        <v>46171.616064814814</v>
      </c>
      <c r="W119" s="9">
        <f>V119-U119</f>
      </c>
      <c r="X119" s="10">
        <v>0.125</v>
      </c>
      <c r="Y119" s="9">
        <f>IF(W119-X119&lt;0,"00:00:00",W119-X119)</f>
      </c>
      <c r="Z119" s="11">
        <v>145</v>
      </c>
      <c r="AA119" s="11">
        <v>7.35</v>
      </c>
      <c r="AB119" s="12">
        <f>Y119*Z119*24</f>
      </c>
      <c r="AC119" s="12">
        <f>S119*AA119</f>
      </c>
      <c r="AD119" s="12">
        <f>T119*AA119</f>
      </c>
      <c r="AE119" s="11">
        <v>735</v>
      </c>
      <c r="AF119" s="12">
        <v>0</v>
      </c>
      <c r="AG119" s="12">
        <f>SUM(AB119:AF119)</f>
      </c>
      <c r="AH119" s="3"/>
      <c r="AI119" s="3"/>
      <c r="AJ119" s="3"/>
      <c r="AK119" s="3"/>
      <c r="AL119" s="3"/>
      <c r="AO119" s="3" t="s">
        <v>50</v>
      </c>
      <c r="AP119" s="6">
        <f>Q119</f>
      </c>
    </row>
    <row r="120" ht="18" customHeight="1" spans="1:42" x14ac:dyDescent="0.25">
      <c r="A120" s="3" t="s">
        <v>38</v>
      </c>
      <c r="B120" s="3" t="s">
        <v>39</v>
      </c>
      <c r="C120" s="3" t="s">
        <v>40</v>
      </c>
      <c r="D120" s="3" t="s">
        <v>41</v>
      </c>
      <c r="E120" s="3" t="s">
        <v>101</v>
      </c>
      <c r="F120" s="3" t="s">
        <v>721</v>
      </c>
      <c r="G120" s="3" t="s">
        <v>719</v>
      </c>
      <c r="H120" s="3" t="s">
        <v>722</v>
      </c>
      <c r="I120" s="3" t="s">
        <v>414</v>
      </c>
      <c r="J120" s="3" t="s">
        <v>539</v>
      </c>
      <c r="K120" s="5" t="s">
        <v>436</v>
      </c>
      <c r="L120" s="5" t="s">
        <v>108</v>
      </c>
      <c r="M120" s="5" t="s">
        <v>327</v>
      </c>
      <c r="N120" s="3" t="s">
        <v>108</v>
      </c>
      <c r="O120" s="6">
        <v>216970</v>
      </c>
      <c r="P120" s="6">
        <v>216995</v>
      </c>
      <c r="Q120" s="6">
        <f>P120-O120</f>
      </c>
      <c r="R120" s="7">
        <v>100</v>
      </c>
      <c r="S120" s="6">
        <f>IF(Q120-R120&lt;0,"0",Q120-R120)</f>
      </c>
      <c r="T120" s="6">
        <v>0</v>
      </c>
      <c r="U120" s="8">
        <v>46171.57291666667</v>
      </c>
      <c r="V120" s="8">
        <v>46171.616631944446</v>
      </c>
      <c r="W120" s="9">
        <f>V120-U120</f>
      </c>
      <c r="X120" s="10">
        <v>0.125</v>
      </c>
      <c r="Y120" s="9">
        <f>IF(W120-X120&lt;0,"00:00:00",W120-X120)</f>
      </c>
      <c r="Z120" s="11">
        <v>145</v>
      </c>
      <c r="AA120" s="11">
        <v>7.35</v>
      </c>
      <c r="AB120" s="12">
        <f>Y120*Z120*24</f>
      </c>
      <c r="AC120" s="12">
        <f>S120*AA120</f>
      </c>
      <c r="AD120" s="12">
        <f>T120*AA120</f>
      </c>
      <c r="AE120" s="11">
        <v>735</v>
      </c>
      <c r="AF120" s="12">
        <v>0</v>
      </c>
      <c r="AG120" s="12">
        <f>SUM(AB120:AF120)</f>
      </c>
      <c r="AH120" s="3"/>
      <c r="AI120" s="3"/>
      <c r="AJ120" s="3"/>
      <c r="AK120" s="3"/>
      <c r="AL120" s="3"/>
      <c r="AO120" s="3" t="s">
        <v>50</v>
      </c>
      <c r="AP120" s="6">
        <f>Q120</f>
      </c>
    </row>
    <row r="121" ht="18" customHeight="1" spans="1:42" x14ac:dyDescent="0.25">
      <c r="A121" s="3" t="s">
        <v>38</v>
      </c>
      <c r="B121" s="3" t="s">
        <v>39</v>
      </c>
      <c r="C121" s="3" t="s">
        <v>40</v>
      </c>
      <c r="D121" s="3" t="s">
        <v>41</v>
      </c>
      <c r="E121" s="3" t="s">
        <v>60</v>
      </c>
      <c r="F121" s="3" t="s">
        <v>723</v>
      </c>
      <c r="G121" s="3" t="s">
        <v>724</v>
      </c>
      <c r="H121" s="3" t="s">
        <v>725</v>
      </c>
      <c r="I121" s="3" t="s">
        <v>726</v>
      </c>
      <c r="J121" s="3" t="s">
        <v>727</v>
      </c>
      <c r="K121" s="5" t="s">
        <v>79</v>
      </c>
      <c r="L121" s="5" t="s">
        <v>67</v>
      </c>
      <c r="M121" s="5" t="s">
        <v>68</v>
      </c>
      <c r="N121" s="4" t="s">
        <v>47</v>
      </c>
      <c r="O121" s="6">
        <v>47966</v>
      </c>
      <c r="P121" s="6">
        <v>48178</v>
      </c>
      <c r="Q121" s="6">
        <v>200</v>
      </c>
      <c r="R121" s="7">
        <v>200</v>
      </c>
      <c r="S121" s="6">
        <f>IF(Q121-R121&lt;0,"0",Q121-R121)</f>
      </c>
      <c r="T121" s="6">
        <v>0</v>
      </c>
      <c r="U121" s="8">
        <v>46172.30208333333</v>
      </c>
      <c r="V121" s="8">
        <v>46172.4384837963</v>
      </c>
      <c r="W121" s="9">
        <f>V121-U121</f>
      </c>
      <c r="X121" s="10">
        <v>0.25</v>
      </c>
      <c r="Y121" s="9">
        <f>IF(W121-X121&lt;0,"00:00:00",W121-X121)</f>
      </c>
      <c r="Z121" s="11">
        <v>145</v>
      </c>
      <c r="AA121" s="11">
        <v>0</v>
      </c>
      <c r="AB121" s="12">
        <f>Y121*Z121*24</f>
      </c>
      <c r="AC121" s="12">
        <f>S121*AA121</f>
      </c>
      <c r="AD121" s="12">
        <f>T121*AA121</f>
      </c>
      <c r="AE121" s="11">
        <v>1380</v>
      </c>
      <c r="AF121" s="12">
        <v>35</v>
      </c>
      <c r="AG121" s="12">
        <f>SUM(AB121:AF121)</f>
      </c>
      <c r="AH121" s="3"/>
      <c r="AI121" s="3"/>
      <c r="AJ121" s="3"/>
      <c r="AK121" s="3"/>
      <c r="AL121" s="3"/>
      <c r="AO121" s="3" t="s">
        <v>80</v>
      </c>
      <c r="AP121" s="6">
        <f>Q121</f>
      </c>
    </row>
    <row r="122" ht="18" customHeight="1" spans="1:42" x14ac:dyDescent="0.25">
      <c r="A122" s="3" t="s">
        <v>38</v>
      </c>
      <c r="B122" s="3" t="s">
        <v>39</v>
      </c>
      <c r="C122" s="3" t="s">
        <v>40</v>
      </c>
      <c r="D122" s="3" t="s">
        <v>41</v>
      </c>
      <c r="E122" s="3" t="s">
        <v>60</v>
      </c>
      <c r="F122" s="3" t="s">
        <v>728</v>
      </c>
      <c r="G122" s="3" t="s">
        <v>729</v>
      </c>
      <c r="H122" s="3" t="s">
        <v>730</v>
      </c>
      <c r="I122" s="3" t="s">
        <v>211</v>
      </c>
      <c r="J122" s="3" t="s">
        <v>731</v>
      </c>
      <c r="K122" s="5" t="s">
        <v>66</v>
      </c>
      <c r="L122" s="5" t="s">
        <v>67</v>
      </c>
      <c r="M122" s="5" t="s">
        <v>68</v>
      </c>
      <c r="N122" s="4" t="s">
        <v>47</v>
      </c>
      <c r="O122" s="6">
        <v>424508</v>
      </c>
      <c r="P122" s="6">
        <v>424709</v>
      </c>
      <c r="Q122" s="6">
        <v>200</v>
      </c>
      <c r="R122" s="7">
        <v>300</v>
      </c>
      <c r="S122" s="6">
        <f>IF(Q122-R122&lt;0,"0",Q122-R122)</f>
      </c>
      <c r="T122" s="6">
        <v>0</v>
      </c>
      <c r="U122" s="8">
        <v>46172.96875</v>
      </c>
      <c r="V122" s="8">
        <v>46173.35246527778</v>
      </c>
      <c r="W122" s="9">
        <f>V122-U122</f>
      </c>
      <c r="X122" s="10">
        <v>0.2916666666666667</v>
      </c>
      <c r="Y122" s="9">
        <f>IF(W122-X122&lt;0,"00:00:00",W122-X122)</f>
      </c>
      <c r="Z122" s="11">
        <v>145</v>
      </c>
      <c r="AA122" s="11">
        <v>0</v>
      </c>
      <c r="AB122" s="12">
        <f>Y122*Z122*24</f>
      </c>
      <c r="AC122" s="12">
        <f>S122*AA122</f>
      </c>
      <c r="AD122" s="12">
        <f>T122*AA122</f>
      </c>
      <c r="AE122" s="11">
        <v>2070</v>
      </c>
      <c r="AF122" s="12">
        <v>35</v>
      </c>
      <c r="AG122" s="12">
        <f>SUM(AB122:AF122)</f>
      </c>
      <c r="AH122" s="3"/>
      <c r="AI122" s="3"/>
      <c r="AJ122" s="3"/>
      <c r="AK122" s="3"/>
      <c r="AL122" s="3"/>
      <c r="AO122" s="3" t="s">
        <v>634</v>
      </c>
      <c r="AP122" s="6">
        <f>Q122</f>
      </c>
    </row>
    <row r="123" ht="18" customHeight="1" spans="1:42" x14ac:dyDescent="0.25">
      <c r="A123" s="3" t="s">
        <v>38</v>
      </c>
      <c r="B123" s="3" t="s">
        <v>39</v>
      </c>
      <c r="C123" s="3" t="s">
        <v>40</v>
      </c>
      <c r="D123" s="3" t="s">
        <v>41</v>
      </c>
      <c r="E123" s="3" t="s">
        <v>60</v>
      </c>
      <c r="F123" s="3" t="s">
        <v>732</v>
      </c>
      <c r="G123" s="3" t="s">
        <v>733</v>
      </c>
      <c r="H123" s="3" t="s">
        <v>734</v>
      </c>
      <c r="I123" s="3" t="s">
        <v>735</v>
      </c>
      <c r="J123" s="3" t="s">
        <v>736</v>
      </c>
      <c r="K123" s="5" t="s">
        <v>79</v>
      </c>
      <c r="L123" s="5" t="s">
        <v>67</v>
      </c>
      <c r="M123" s="5" t="s">
        <v>68</v>
      </c>
      <c r="N123" s="4" t="s">
        <v>47</v>
      </c>
      <c r="O123" s="6">
        <v>73691</v>
      </c>
      <c r="P123" s="6">
        <v>73892</v>
      </c>
      <c r="Q123" s="6">
        <v>200</v>
      </c>
      <c r="R123" s="7">
        <v>223</v>
      </c>
      <c r="S123" s="6">
        <f>IF(Q123-R123&lt;0,"0",Q123-R123)</f>
      </c>
      <c r="T123" s="6">
        <v>0</v>
      </c>
      <c r="U123" s="8">
        <v>46173.743055555555</v>
      </c>
      <c r="V123" s="8">
        <v>46173.90266203704</v>
      </c>
      <c r="W123" s="9">
        <f>V123-U123</f>
      </c>
      <c r="X123" s="10">
        <v>0.3333333333333333</v>
      </c>
      <c r="Y123" s="9">
        <f>IF(W123-X123&lt;0,"00:00:00",W123-X123)</f>
      </c>
      <c r="Z123" s="11">
        <v>145</v>
      </c>
      <c r="AA123" s="11">
        <v>0</v>
      </c>
      <c r="AB123" s="12">
        <f>Y123*Z123*24</f>
      </c>
      <c r="AC123" s="12">
        <f>S123*AA123</f>
      </c>
      <c r="AD123" s="12">
        <f>T123*AA123</f>
      </c>
      <c r="AE123" s="11">
        <v>1538.7</v>
      </c>
      <c r="AF123" s="12">
        <v>35</v>
      </c>
      <c r="AG123" s="12">
        <f>SUM(AB123:AF123)</f>
      </c>
      <c r="AH123" s="3"/>
      <c r="AI123" s="3"/>
      <c r="AJ123" s="3"/>
      <c r="AK123" s="3"/>
      <c r="AL123" s="3"/>
      <c r="AO123" s="3" t="s">
        <v>737</v>
      </c>
      <c r="AP123" s="6">
        <f>Q123</f>
      </c>
    </row>
    <row r="124" ht="18" customHeight="1" spans="1:42" x14ac:dyDescent="0.25">
      <c r="A124" s="3" t="s">
        <v>38</v>
      </c>
      <c r="B124" s="3" t="s">
        <v>39</v>
      </c>
      <c r="C124" s="3" t="s">
        <v>40</v>
      </c>
      <c r="D124" s="3" t="s">
        <v>41</v>
      </c>
      <c r="E124" s="3" t="s">
        <v>738</v>
      </c>
      <c r="F124" s="3" t="s">
        <v>739</v>
      </c>
      <c r="G124" s="3" t="s">
        <v>740</v>
      </c>
      <c r="H124" s="3" t="s">
        <v>741</v>
      </c>
      <c r="I124" s="3" t="s">
        <v>216</v>
      </c>
      <c r="J124" s="3" t="s">
        <v>742</v>
      </c>
      <c r="K124" s="5" t="s">
        <v>665</v>
      </c>
      <c r="L124" s="5" t="s">
        <v>67</v>
      </c>
      <c r="M124" s="5" t="s">
        <v>328</v>
      </c>
      <c r="N124" s="4" t="s">
        <v>47</v>
      </c>
      <c r="O124" s="6">
        <v>24246</v>
      </c>
      <c r="P124" s="6">
        <v>24284</v>
      </c>
      <c r="Q124" s="6">
        <f>P124-O124</f>
      </c>
      <c r="R124" s="7">
        <v>100</v>
      </c>
      <c r="S124" s="6">
        <f>IF(Q124-R124&lt;0,"0",Q124-R124)</f>
      </c>
      <c r="T124" s="6">
        <v>0</v>
      </c>
      <c r="U124" s="8">
        <v>46173.97916666667</v>
      </c>
      <c r="V124" s="8">
        <v>46174.059166666666</v>
      </c>
      <c r="W124" s="9">
        <f>V124-U124</f>
      </c>
      <c r="X124" s="10">
        <v>0.125</v>
      </c>
      <c r="Y124" s="9">
        <f>IF(W124-X124&lt;0,"00:00:00",W124-X124)</f>
      </c>
      <c r="Z124" s="11">
        <v>145</v>
      </c>
      <c r="AA124" s="11">
        <v>6.9</v>
      </c>
      <c r="AB124" s="12">
        <f>Y124*Z124*24</f>
      </c>
      <c r="AC124" s="12">
        <f>S124*AA124</f>
      </c>
      <c r="AD124" s="12">
        <f>T124*AA124</f>
      </c>
      <c r="AE124" s="11">
        <v>690</v>
      </c>
      <c r="AF124" s="12">
        <v>0</v>
      </c>
      <c r="AG124" s="12">
        <f>SUM(AB124:AF124)</f>
      </c>
      <c r="AH124" s="3"/>
      <c r="AI124" s="3"/>
      <c r="AJ124" s="3"/>
      <c r="AK124" s="3"/>
      <c r="AL124" s="3"/>
      <c r="AO124" s="3" t="s">
        <v>59</v>
      </c>
      <c r="AP124" s="6">
        <f>Q124</f>
      </c>
    </row>
    <row r="125" ht="18" customHeight="1" spans="1:42" x14ac:dyDescent="0.25">
      <c r="A125" s="3" t="s">
        <v>38</v>
      </c>
      <c r="B125" s="3" t="s">
        <v>39</v>
      </c>
      <c r="C125" s="3" t="s">
        <v>40</v>
      </c>
      <c r="D125" s="3" t="s">
        <v>41</v>
      </c>
      <c r="E125" s="3" t="s">
        <v>738</v>
      </c>
      <c r="F125" s="3" t="s">
        <v>743</v>
      </c>
      <c r="G125" s="3" t="s">
        <v>744</v>
      </c>
      <c r="H125" s="3" t="s">
        <v>745</v>
      </c>
      <c r="I125" s="3" t="s">
        <v>735</v>
      </c>
      <c r="J125" s="3" t="s">
        <v>746</v>
      </c>
      <c r="K125" s="5" t="s">
        <v>665</v>
      </c>
      <c r="L125" s="5" t="s">
        <v>67</v>
      </c>
      <c r="M125" s="5" t="s">
        <v>328</v>
      </c>
      <c r="N125" s="4" t="s">
        <v>47</v>
      </c>
      <c r="O125" s="6">
        <v>74045</v>
      </c>
      <c r="P125" s="6">
        <v>74083</v>
      </c>
      <c r="Q125" s="6">
        <f>P125-O125</f>
      </c>
      <c r="R125" s="7">
        <v>500</v>
      </c>
      <c r="S125" s="6">
        <f>IF(Q125-R125&lt;0,"0",Q125-R125)</f>
      </c>
      <c r="T125" s="6">
        <v>0</v>
      </c>
      <c r="U125" s="8">
        <v>46173.97916666667</v>
      </c>
      <c r="V125" s="8">
        <v>46174.06041666667</v>
      </c>
      <c r="W125" s="9">
        <f>V125-U125</f>
      </c>
      <c r="X125" s="10">
        <v>0.4583333333333333</v>
      </c>
      <c r="Y125" s="9">
        <f>IF(W125-X125&lt;0,"00:00:00",W125-X125)</f>
      </c>
      <c r="Z125" s="11">
        <v>145</v>
      </c>
      <c r="AA125" s="11">
        <v>0</v>
      </c>
      <c r="AB125" s="12">
        <f>Y125*Z125*24</f>
      </c>
      <c r="AC125" s="12">
        <f>S125*AA125</f>
      </c>
      <c r="AD125" s="12">
        <f>T125*AA125</f>
      </c>
      <c r="AE125" s="11">
        <v>3450</v>
      </c>
      <c r="AF125" s="12">
        <v>0</v>
      </c>
      <c r="AG125" s="12">
        <f>SUM(AB125:AF125)</f>
      </c>
      <c r="AH125" s="3"/>
      <c r="AI125" s="3"/>
      <c r="AJ125" s="3"/>
      <c r="AK125" s="3"/>
      <c r="AL125" s="3"/>
      <c r="AO125" s="3" t="s">
        <v>600</v>
      </c>
      <c r="AP125" s="6">
        <f>Q125</f>
      </c>
    </row>
    <row r="126" ht="18" customHeight="1" spans="1:42" x14ac:dyDescent="0.25">
      <c r="A126" s="3" t="s">
        <v>38</v>
      </c>
      <c r="B126" s="3" t="s">
        <v>39</v>
      </c>
      <c r="C126" s="3" t="s">
        <v>40</v>
      </c>
      <c r="D126" s="3" t="s">
        <v>41</v>
      </c>
      <c r="E126" s="3" t="s">
        <v>738</v>
      </c>
      <c r="F126" s="3" t="s">
        <v>747</v>
      </c>
      <c r="G126" s="3" t="s">
        <v>748</v>
      </c>
      <c r="H126" s="3" t="s">
        <v>749</v>
      </c>
      <c r="I126" s="3" t="s">
        <v>211</v>
      </c>
      <c r="J126" s="3" t="s">
        <v>750</v>
      </c>
      <c r="K126" s="5" t="s">
        <v>665</v>
      </c>
      <c r="L126" s="5" t="s">
        <v>67</v>
      </c>
      <c r="M126" s="5" t="s">
        <v>328</v>
      </c>
      <c r="N126" s="4" t="s">
        <v>47</v>
      </c>
      <c r="O126" s="6">
        <v>425076</v>
      </c>
      <c r="P126" s="6">
        <v>425116</v>
      </c>
      <c r="Q126" s="6">
        <f>P126-O126</f>
      </c>
      <c r="R126" s="7">
        <v>500</v>
      </c>
      <c r="S126" s="6">
        <f>IF(Q126-R126&lt;0,"0",Q126-R126)</f>
      </c>
      <c r="T126" s="6">
        <v>0</v>
      </c>
      <c r="U126" s="8">
        <v>46173.97916666667</v>
      </c>
      <c r="V126" s="8">
        <v>46174.064942129626</v>
      </c>
      <c r="W126" s="9">
        <f>V126-U126</f>
      </c>
      <c r="X126" s="10">
        <v>0.4583333333333333</v>
      </c>
      <c r="Y126" s="9">
        <f>IF(W126-X126&lt;0,"00:00:00",W126-X126)</f>
      </c>
      <c r="Z126" s="11">
        <v>145</v>
      </c>
      <c r="AA126" s="11">
        <v>0</v>
      </c>
      <c r="AB126" s="12">
        <f>Y126*Z126*24</f>
      </c>
      <c r="AC126" s="12">
        <f>S126*AA126</f>
      </c>
      <c r="AD126" s="12">
        <f>T126*AA126</f>
      </c>
      <c r="AE126" s="11">
        <v>3450</v>
      </c>
      <c r="AF126" s="12">
        <v>0</v>
      </c>
      <c r="AG126" s="12">
        <f>SUM(AB126:AF126)</f>
      </c>
      <c r="AH126" s="3"/>
      <c r="AI126" s="3"/>
      <c r="AJ126" s="3"/>
      <c r="AK126" s="3"/>
      <c r="AL126" s="3"/>
      <c r="AO126" s="3" t="s">
        <v>600</v>
      </c>
      <c r="AP126" s="6">
        <f>Q126</f>
      </c>
    </row>
    <row r="127" ht="18" customHeight="1" spans="1:42" x14ac:dyDescent="0.25">
      <c r="A127" s="3" t="s">
        <v>38</v>
      </c>
      <c r="B127" s="3" t="s">
        <v>39</v>
      </c>
      <c r="C127" s="3" t="s">
        <v>40</v>
      </c>
      <c r="D127" s="3" t="s">
        <v>41</v>
      </c>
      <c r="E127" s="3" t="s">
        <v>612</v>
      </c>
      <c r="F127" s="3" t="s">
        <v>751</v>
      </c>
      <c r="G127" s="3" t="s">
        <v>752</v>
      </c>
      <c r="H127" s="3" t="s">
        <v>753</v>
      </c>
      <c r="I127" s="3" t="s">
        <v>265</v>
      </c>
      <c r="J127" s="3" t="s">
        <v>754</v>
      </c>
      <c r="K127" s="5" t="s">
        <v>755</v>
      </c>
      <c r="L127" s="5" t="s">
        <v>67</v>
      </c>
      <c r="M127" s="5" t="s">
        <v>756</v>
      </c>
      <c r="N127" s="3" t="s">
        <v>122</v>
      </c>
      <c r="O127" s="6">
        <v>6757</v>
      </c>
      <c r="P127" s="6">
        <v>7345</v>
      </c>
      <c r="Q127" s="6">
        <f>P127-O127</f>
      </c>
      <c r="R127" s="7">
        <v>486</v>
      </c>
      <c r="S127" s="6">
        <f>IF(Q127-R127&lt;0,"0",Q127-R127)</f>
      </c>
      <c r="T127" s="6">
        <v>0</v>
      </c>
      <c r="U127" s="8">
        <v>46174.5</v>
      </c>
      <c r="V127" s="8">
        <v>46175.43350694445</v>
      </c>
      <c r="W127" s="9">
        <f>V127-U127</f>
      </c>
      <c r="X127" s="10">
        <v>1</v>
      </c>
      <c r="Y127" s="9">
        <f>IF(W127-X127&lt;0,"00:00:00",W127-X127)</f>
      </c>
      <c r="Z127" s="11">
        <v>145</v>
      </c>
      <c r="AA127" s="11">
        <v>0</v>
      </c>
      <c r="AB127" s="12">
        <f>Y127*Z127*24</f>
      </c>
      <c r="AC127" s="12">
        <f>S127*AA127</f>
      </c>
      <c r="AD127" s="12">
        <f>T127*AA127</f>
      </c>
      <c r="AE127" s="11">
        <v>5071.65</v>
      </c>
      <c r="AF127" s="12">
        <v>59.2</v>
      </c>
      <c r="AG127" s="12">
        <f>SUM(AB127:AF127)</f>
      </c>
      <c r="AH127" s="3"/>
      <c r="AI127" s="3"/>
      <c r="AJ127" s="3"/>
      <c r="AK127" s="3"/>
      <c r="AL127" s="3"/>
      <c r="AO127" s="3" t="s">
        <v>757</v>
      </c>
      <c r="AP127" s="6">
        <f>Q127</f>
      </c>
    </row>
    <row r="128" ht="18" customHeight="1" spans="1:42" x14ac:dyDescent="0.25">
      <c r="A128" s="3" t="s">
        <v>38</v>
      </c>
      <c r="B128" s="3" t="s">
        <v>39</v>
      </c>
      <c r="C128" s="3" t="s">
        <v>40</v>
      </c>
      <c r="D128" s="3" t="s">
        <v>41</v>
      </c>
      <c r="E128" s="3" t="s">
        <v>60</v>
      </c>
      <c r="F128" s="3" t="s">
        <v>758</v>
      </c>
      <c r="G128" s="3" t="s">
        <v>759</v>
      </c>
      <c r="H128" s="3" t="s">
        <v>760</v>
      </c>
      <c r="I128" s="3" t="s">
        <v>216</v>
      </c>
      <c r="J128" s="3" t="s">
        <v>517</v>
      </c>
      <c r="K128" s="5" t="s">
        <v>143</v>
      </c>
      <c r="L128" s="5" t="s">
        <v>67</v>
      </c>
      <c r="M128" s="5" t="s">
        <v>99</v>
      </c>
      <c r="N128" s="4" t="s">
        <v>47</v>
      </c>
      <c r="O128" s="6">
        <v>24343</v>
      </c>
      <c r="P128" s="6">
        <v>24419</v>
      </c>
      <c r="Q128" s="6">
        <v>200</v>
      </c>
      <c r="R128" s="7">
        <v>100</v>
      </c>
      <c r="S128" s="6">
        <f>IF(Q128-R128&lt;0,"0",Q128-R128)</f>
      </c>
      <c r="T128" s="6">
        <v>0</v>
      </c>
      <c r="U128" s="8">
        <v>46174.25</v>
      </c>
      <c r="V128" s="8">
        <v>46174.38878472222</v>
      </c>
      <c r="W128" s="9">
        <f>V128-U128</f>
      </c>
      <c r="X128" s="10">
        <v>0.125</v>
      </c>
      <c r="Y128" s="9">
        <f>IF(W128-X128&lt;0,"00:00:00",W128-X128)</f>
      </c>
      <c r="Z128" s="11">
        <v>145</v>
      </c>
      <c r="AA128" s="11">
        <v>0</v>
      </c>
      <c r="AB128" s="12">
        <f>Y128*Z128*24</f>
      </c>
      <c r="AC128" s="12">
        <f>S128*AA128</f>
      </c>
      <c r="AD128" s="12">
        <f>T128*AA128</f>
      </c>
      <c r="AE128" s="11">
        <v>690</v>
      </c>
      <c r="AF128" s="12">
        <v>25</v>
      </c>
      <c r="AG128" s="12">
        <f>SUM(AB128:AF128)</f>
      </c>
      <c r="AH128" s="3"/>
      <c r="AI128" s="3"/>
      <c r="AJ128" s="3"/>
      <c r="AK128" s="3"/>
      <c r="AL128" s="3"/>
      <c r="AO128" s="3" t="s">
        <v>69</v>
      </c>
      <c r="AP128" s="6">
        <f>Q128</f>
      </c>
    </row>
    <row r="129" ht="18" customHeight="1" spans="1:42" x14ac:dyDescent="0.25">
      <c r="A129" s="3" t="s">
        <v>38</v>
      </c>
      <c r="B129" s="3" t="s">
        <v>39</v>
      </c>
      <c r="C129" s="3" t="s">
        <v>40</v>
      </c>
      <c r="D129" s="3" t="s">
        <v>41</v>
      </c>
      <c r="E129" s="3" t="s">
        <v>275</v>
      </c>
      <c r="F129" s="3" t="s">
        <v>761</v>
      </c>
      <c r="G129" s="3" t="s">
        <v>762</v>
      </c>
      <c r="H129" s="3" t="s">
        <v>763</v>
      </c>
      <c r="I129" s="3" t="s">
        <v>764</v>
      </c>
      <c r="J129" s="3" t="s">
        <v>765</v>
      </c>
      <c r="K129" s="5" t="s">
        <v>629</v>
      </c>
      <c r="L129" s="5" t="s">
        <v>98</v>
      </c>
      <c r="M129" s="5" t="s">
        <v>630</v>
      </c>
      <c r="N129" s="3" t="s">
        <v>98</v>
      </c>
      <c r="O129" s="6">
        <v>4989</v>
      </c>
      <c r="P129" s="6">
        <v>4997</v>
      </c>
      <c r="Q129" s="6">
        <f>P129-O129</f>
      </c>
      <c r="R129" s="7">
        <v>100</v>
      </c>
      <c r="S129" s="6">
        <f>IF(Q129-R129&lt;0,"0",Q129-R129)</f>
      </c>
      <c r="T129" s="6">
        <v>0</v>
      </c>
      <c r="U129" s="8">
        <v>46175.33333333333</v>
      </c>
      <c r="V129" s="8">
        <v>46175.41096064815</v>
      </c>
      <c r="W129" s="9">
        <f>V129-U129</f>
      </c>
      <c r="X129" s="10">
        <v>0.125</v>
      </c>
      <c r="Y129" s="9">
        <f>IF(W129-X129&lt;0,"00:00:00",W129-X129)</f>
      </c>
      <c r="Z129" s="11">
        <v>145</v>
      </c>
      <c r="AA129" s="11">
        <v>0</v>
      </c>
      <c r="AB129" s="12">
        <f>Y129*Z129*24</f>
      </c>
      <c r="AC129" s="12">
        <f>S129*AA129</f>
      </c>
      <c r="AD129" s="12">
        <f>T129*AA129</f>
      </c>
      <c r="AE129" s="11">
        <v>690</v>
      </c>
      <c r="AF129" s="12">
        <v>0</v>
      </c>
      <c r="AG129" s="12">
        <f>SUM(AB129:AF129)</f>
      </c>
      <c r="AH129" s="3"/>
      <c r="AI129" s="3"/>
      <c r="AJ129" s="3"/>
      <c r="AK129" s="3"/>
      <c r="AL129" s="3"/>
      <c r="AO129" s="3" t="s">
        <v>69</v>
      </c>
      <c r="AP129" s="6">
        <f>Q129</f>
      </c>
    </row>
    <row r="130" ht="18" customHeight="1" spans="1:42" x14ac:dyDescent="0.25">
      <c r="A130" s="3" t="s">
        <v>38</v>
      </c>
      <c r="B130" s="3" t="s">
        <v>39</v>
      </c>
      <c r="C130" s="3" t="s">
        <v>40</v>
      </c>
      <c r="D130" s="3" t="s">
        <v>41</v>
      </c>
      <c r="E130" s="3" t="s">
        <v>275</v>
      </c>
      <c r="F130" s="3" t="s">
        <v>766</v>
      </c>
      <c r="G130" s="3" t="s">
        <v>762</v>
      </c>
      <c r="H130" s="3" t="s">
        <v>767</v>
      </c>
      <c r="I130" s="3" t="s">
        <v>768</v>
      </c>
      <c r="J130" s="3" t="s">
        <v>765</v>
      </c>
      <c r="K130" s="5" t="s">
        <v>629</v>
      </c>
      <c r="L130" s="5" t="s">
        <v>98</v>
      </c>
      <c r="M130" s="5" t="s">
        <v>630</v>
      </c>
      <c r="N130" s="3" t="s">
        <v>98</v>
      </c>
      <c r="O130" s="6">
        <v>30548</v>
      </c>
      <c r="P130" s="6">
        <v>30556</v>
      </c>
      <c r="Q130" s="6">
        <f>P130-O130</f>
      </c>
      <c r="R130" s="7">
        <v>100</v>
      </c>
      <c r="S130" s="6">
        <f>IF(Q130-R130&lt;0,"0",Q130-R130)</f>
      </c>
      <c r="T130" s="6">
        <v>0</v>
      </c>
      <c r="U130" s="8">
        <v>46175.33333333333</v>
      </c>
      <c r="V130" s="8">
        <v>46175.41181712963</v>
      </c>
      <c r="W130" s="9">
        <f>V130-U130</f>
      </c>
      <c r="X130" s="10">
        <v>0.125</v>
      </c>
      <c r="Y130" s="9">
        <f>IF(W130-X130&lt;0,"00:00:00",W130-X130)</f>
      </c>
      <c r="Z130" s="11">
        <v>145</v>
      </c>
      <c r="AA130" s="11">
        <v>0</v>
      </c>
      <c r="AB130" s="12">
        <f>Y130*Z130*24</f>
      </c>
      <c r="AC130" s="12">
        <f>S130*AA130</f>
      </c>
      <c r="AD130" s="12">
        <f>T130*AA130</f>
      </c>
      <c r="AE130" s="11">
        <v>690</v>
      </c>
      <c r="AF130" s="12">
        <v>0</v>
      </c>
      <c r="AG130" s="12">
        <f>SUM(AB130:AF130)</f>
      </c>
      <c r="AH130" s="3"/>
      <c r="AI130" s="3"/>
      <c r="AJ130" s="3"/>
      <c r="AK130" s="3"/>
      <c r="AL130" s="3"/>
      <c r="AO130" s="3" t="s">
        <v>769</v>
      </c>
      <c r="AP130" s="6">
        <f>Q130</f>
      </c>
    </row>
    <row r="131" ht="18" customHeight="1" spans="1:42" x14ac:dyDescent="0.25">
      <c r="A131" s="3" t="s">
        <v>38</v>
      </c>
      <c r="B131" s="3" t="s">
        <v>39</v>
      </c>
      <c r="C131" s="3" t="s">
        <v>40</v>
      </c>
      <c r="D131" s="3" t="s">
        <v>41</v>
      </c>
      <c r="E131" s="3" t="s">
        <v>60</v>
      </c>
      <c r="F131" s="3" t="s">
        <v>770</v>
      </c>
      <c r="G131" s="3" t="s">
        <v>771</v>
      </c>
      <c r="H131" s="3" t="s">
        <v>772</v>
      </c>
      <c r="I131" s="3" t="s">
        <v>211</v>
      </c>
      <c r="J131" s="3" t="s">
        <v>773</v>
      </c>
      <c r="K131" s="5" t="s">
        <v>169</v>
      </c>
      <c r="L131" s="5" t="s">
        <v>67</v>
      </c>
      <c r="M131" s="5" t="s">
        <v>68</v>
      </c>
      <c r="N131" s="4" t="s">
        <v>47</v>
      </c>
      <c r="O131" s="6">
        <v>425328</v>
      </c>
      <c r="P131" s="6">
        <v>425528</v>
      </c>
      <c r="Q131" s="6">
        <v>200</v>
      </c>
      <c r="R131" s="7">
        <v>200</v>
      </c>
      <c r="S131" s="6">
        <f>IF(Q131-R131&lt;0,"0",Q131-R131)</f>
      </c>
      <c r="T131" s="6">
        <v>0</v>
      </c>
      <c r="U131" s="8">
        <v>46174.92361111111</v>
      </c>
      <c r="V131" s="8">
        <v>46175.15950231481</v>
      </c>
      <c r="W131" s="9">
        <f>V131-U131</f>
      </c>
      <c r="X131" s="10">
        <v>0.20833333333333334</v>
      </c>
      <c r="Y131" s="9">
        <f>IF(W131-X131&lt;0,"00:00:00",W131-X131)</f>
      </c>
      <c r="Z131" s="11">
        <v>145</v>
      </c>
      <c r="AA131" s="11">
        <v>0</v>
      </c>
      <c r="AB131" s="12">
        <f>Y131*Z131*24</f>
      </c>
      <c r="AC131" s="12">
        <f>S131*AA131</f>
      </c>
      <c r="AD131" s="12">
        <f>T131*AA131</f>
      </c>
      <c r="AE131" s="11">
        <v>1380</v>
      </c>
      <c r="AF131" s="12">
        <v>35</v>
      </c>
      <c r="AG131" s="12">
        <f>SUM(AB131:AF131)</f>
      </c>
      <c r="AH131" s="3"/>
      <c r="AI131" s="3"/>
      <c r="AJ131" s="3"/>
      <c r="AK131" s="3"/>
      <c r="AL131" s="3"/>
      <c r="AO131" s="3" t="s">
        <v>507</v>
      </c>
      <c r="AP131" s="6">
        <f>Q131</f>
      </c>
    </row>
    <row r="132" ht="18" customHeight="1" spans="1:42" x14ac:dyDescent="0.25">
      <c r="A132" s="3" t="s">
        <v>38</v>
      </c>
      <c r="B132" s="3" t="s">
        <v>39</v>
      </c>
      <c r="C132" s="3" t="s">
        <v>40</v>
      </c>
      <c r="D132" s="3" t="s">
        <v>41</v>
      </c>
      <c r="E132" s="3" t="s">
        <v>123</v>
      </c>
      <c r="F132" s="3" t="s">
        <v>774</v>
      </c>
      <c r="G132" s="3" t="s">
        <v>775</v>
      </c>
      <c r="H132" s="3" t="s">
        <v>776</v>
      </c>
      <c r="I132" s="3" t="s">
        <v>228</v>
      </c>
      <c r="J132" s="3" t="s">
        <v>777</v>
      </c>
      <c r="K132" s="5" t="s">
        <v>755</v>
      </c>
      <c r="L132" s="5" t="s">
        <v>67</v>
      </c>
      <c r="M132" s="5" t="s">
        <v>554</v>
      </c>
      <c r="N132" s="3" t="s">
        <v>67</v>
      </c>
      <c r="O132" s="6">
        <v>100474</v>
      </c>
      <c r="P132" s="6">
        <v>100534</v>
      </c>
      <c r="Q132" s="6">
        <f>P132-O132</f>
      </c>
      <c r="R132" s="7">
        <v>100</v>
      </c>
      <c r="S132" s="6">
        <f>IF(Q132-R132&lt;0,"0",Q132-R132)</f>
      </c>
      <c r="T132" s="6">
        <v>0</v>
      </c>
      <c r="U132" s="8">
        <v>46175.02083333333</v>
      </c>
      <c r="V132" s="8">
        <v>46175.08679398148</v>
      </c>
      <c r="W132" s="9">
        <f>V132-U132</f>
      </c>
      <c r="X132" s="10">
        <v>0.125</v>
      </c>
      <c r="Y132" s="9">
        <f>IF(W132-X132&lt;0,"00:00:00",W132-X132)</f>
      </c>
      <c r="Z132" s="11">
        <v>145</v>
      </c>
      <c r="AA132" s="11">
        <v>0</v>
      </c>
      <c r="AB132" s="12">
        <f>Y132*Z132*24</f>
      </c>
      <c r="AC132" s="12">
        <f>S132*AA132</f>
      </c>
      <c r="AD132" s="12">
        <f>T132*AA132</f>
      </c>
      <c r="AE132" s="11">
        <v>690</v>
      </c>
      <c r="AF132" s="12">
        <v>13.7</v>
      </c>
      <c r="AG132" s="12">
        <f>SUM(AB132:AF132)</f>
      </c>
      <c r="AH132" s="3"/>
      <c r="AI132" s="3"/>
      <c r="AJ132" s="3"/>
      <c r="AK132" s="3"/>
      <c r="AL132" s="3"/>
      <c r="AO132" s="3" t="s">
        <v>778</v>
      </c>
      <c r="AP132" s="6">
        <f>Q132</f>
      </c>
    </row>
    <row r="133" ht="18" customHeight="1" spans="1:42" x14ac:dyDescent="0.25">
      <c r="A133" s="3" t="s">
        <v>38</v>
      </c>
      <c r="B133" s="3" t="s">
        <v>39</v>
      </c>
      <c r="C133" s="3" t="s">
        <v>40</v>
      </c>
      <c r="D133" s="3" t="s">
        <v>41</v>
      </c>
      <c r="E133" s="3" t="s">
        <v>218</v>
      </c>
      <c r="F133" s="3" t="s">
        <v>779</v>
      </c>
      <c r="G133" s="4" t="s">
        <v>47</v>
      </c>
      <c r="H133" s="3" t="s">
        <v>780</v>
      </c>
      <c r="I133" s="3" t="s">
        <v>216</v>
      </c>
      <c r="J133" s="3" t="s">
        <v>261</v>
      </c>
      <c r="K133" s="5" t="s">
        <v>169</v>
      </c>
      <c r="L133" s="5" t="s">
        <v>67</v>
      </c>
      <c r="M133" s="5" t="s">
        <v>223</v>
      </c>
      <c r="N133" s="4" t="s">
        <v>47</v>
      </c>
      <c r="O133" s="6">
        <v>24753</v>
      </c>
      <c r="P133" s="6">
        <v>24817</v>
      </c>
      <c r="Q133" s="6">
        <v>400</v>
      </c>
      <c r="R133" s="7">
        <v>400</v>
      </c>
      <c r="S133" s="6">
        <f>IF(Q133-R133&lt;0,"0",Q133-R133)</f>
      </c>
      <c r="T133" s="6">
        <v>0</v>
      </c>
      <c r="U133" s="8">
        <v>46175.29166666667</v>
      </c>
      <c r="V133" s="8">
        <v>46175.49615740741</v>
      </c>
      <c r="W133" s="9">
        <f>V133-U133</f>
      </c>
      <c r="X133" s="10">
        <v>0.375</v>
      </c>
      <c r="Y133" s="9">
        <f>IF(W133-X133&lt;0,"00:00:00",W133-X133)</f>
      </c>
      <c r="Z133" s="11">
        <v>145</v>
      </c>
      <c r="AA133" s="11">
        <v>0</v>
      </c>
      <c r="AB133" s="12">
        <f>Y133*Z133*24</f>
      </c>
      <c r="AC133" s="12">
        <f>S133*AA133</f>
      </c>
      <c r="AD133" s="12">
        <f>T133*AA133</f>
      </c>
      <c r="AE133" s="11">
        <v>2760</v>
      </c>
      <c r="AF133" s="12">
        <v>70</v>
      </c>
      <c r="AG133" s="12">
        <f>SUM(AB133:AF133)</f>
      </c>
      <c r="AH133" s="3"/>
      <c r="AI133" s="3"/>
      <c r="AJ133" s="3"/>
      <c r="AK133" s="3"/>
      <c r="AL133" s="3"/>
      <c r="AO133" s="3" t="s">
        <v>224</v>
      </c>
      <c r="AP133" s="6">
        <f>Q133</f>
      </c>
    </row>
    <row r="134" ht="18" customHeight="1" spans="1:42" x14ac:dyDescent="0.25">
      <c r="A134" s="3" t="s">
        <v>38</v>
      </c>
      <c r="B134" s="3" t="s">
        <v>39</v>
      </c>
      <c r="C134" s="3" t="s">
        <v>40</v>
      </c>
      <c r="D134" s="3" t="s">
        <v>41</v>
      </c>
      <c r="E134" s="3" t="s">
        <v>338</v>
      </c>
      <c r="F134" s="3" t="s">
        <v>781</v>
      </c>
      <c r="G134" s="3" t="s">
        <v>782</v>
      </c>
      <c r="H134" s="3" t="s">
        <v>783</v>
      </c>
      <c r="I134" s="3" t="s">
        <v>784</v>
      </c>
      <c r="J134" s="3" t="s">
        <v>343</v>
      </c>
      <c r="K134" s="5" t="s">
        <v>344</v>
      </c>
      <c r="L134" s="5" t="s">
        <v>345</v>
      </c>
      <c r="M134" s="5" t="s">
        <v>346</v>
      </c>
      <c r="N134" s="3" t="s">
        <v>345</v>
      </c>
      <c r="O134" s="6">
        <v>41799</v>
      </c>
      <c r="P134" s="6">
        <v>41818</v>
      </c>
      <c r="Q134" s="6">
        <f>P134-O134</f>
      </c>
      <c r="R134" s="7">
        <v>100</v>
      </c>
      <c r="S134" s="6">
        <f>IF(Q134-R134&lt;0,"0",Q134-R134)</f>
      </c>
      <c r="T134" s="6">
        <v>0</v>
      </c>
      <c r="U134" s="8">
        <v>46175.45833333333</v>
      </c>
      <c r="V134" s="8">
        <v>46175.54178240741</v>
      </c>
      <c r="W134" s="9">
        <f>V134-U134</f>
      </c>
      <c r="X134" s="10">
        <v>0.125</v>
      </c>
      <c r="Y134" s="9">
        <f>IF(W134-X134&lt;0,"00:00:00",W134-X134)</f>
      </c>
      <c r="Z134" s="11">
        <v>145</v>
      </c>
      <c r="AA134" s="11">
        <v>0</v>
      </c>
      <c r="AB134" s="12">
        <f>Y134*Z134*24</f>
      </c>
      <c r="AC134" s="12">
        <f>S134*AA134</f>
      </c>
      <c r="AD134" s="12">
        <f>T134*AA134</f>
      </c>
      <c r="AE134" s="11">
        <v>690</v>
      </c>
      <c r="AF134" s="12">
        <v>0</v>
      </c>
      <c r="AG134" s="12">
        <f>SUM(AB134:AF134)</f>
      </c>
      <c r="AH134" s="3"/>
      <c r="AI134" s="3"/>
      <c r="AJ134" s="3"/>
      <c r="AK134" s="3"/>
      <c r="AL134" s="3"/>
      <c r="AO134" s="3" t="s">
        <v>785</v>
      </c>
      <c r="AP134" s="6">
        <f>Q134</f>
      </c>
    </row>
    <row r="135" ht="18" customHeight="1" spans="1:42" x14ac:dyDescent="0.25">
      <c r="A135" s="3" t="s">
        <v>38</v>
      </c>
      <c r="B135" s="3" t="s">
        <v>39</v>
      </c>
      <c r="C135" s="3" t="s">
        <v>40</v>
      </c>
      <c r="D135" s="3" t="s">
        <v>41</v>
      </c>
      <c r="E135" s="3" t="s">
        <v>375</v>
      </c>
      <c r="F135" s="3" t="s">
        <v>786</v>
      </c>
      <c r="G135" s="4" t="s">
        <v>47</v>
      </c>
      <c r="H135" s="3" t="s">
        <v>787</v>
      </c>
      <c r="I135" s="3" t="s">
        <v>788</v>
      </c>
      <c r="J135" s="3" t="s">
        <v>789</v>
      </c>
      <c r="K135" s="5" t="s">
        <v>680</v>
      </c>
      <c r="L135" s="5" t="s">
        <v>122</v>
      </c>
      <c r="M135" s="5" t="s">
        <v>790</v>
      </c>
      <c r="N135" s="3" t="s">
        <v>67</v>
      </c>
      <c r="O135" s="6">
        <v>158060</v>
      </c>
      <c r="P135" s="6">
        <v>158168</v>
      </c>
      <c r="Q135" s="6">
        <v>400</v>
      </c>
      <c r="R135" s="7">
        <v>400</v>
      </c>
      <c r="S135" s="6">
        <f>IF(Q135-R135&lt;0,"0",Q135-R135)</f>
      </c>
      <c r="T135" s="6">
        <v>0</v>
      </c>
      <c r="U135" s="8">
        <v>46175.53125</v>
      </c>
      <c r="V135" s="8">
        <v>46175.65190972222</v>
      </c>
      <c r="W135" s="9">
        <f>V135-U135</f>
      </c>
      <c r="X135" s="10">
        <v>0.375</v>
      </c>
      <c r="Y135" s="9">
        <f>IF(W135-X135&lt;0,"00:00:00",W135-X135)</f>
      </c>
      <c r="Z135" s="11">
        <v>145</v>
      </c>
      <c r="AA135" s="11">
        <v>0</v>
      </c>
      <c r="AB135" s="12">
        <f>Y135*Z135*24</f>
      </c>
      <c r="AC135" s="12">
        <f>S135*AA135</f>
      </c>
      <c r="AD135" s="12">
        <f>T135*AA135</f>
      </c>
      <c r="AE135" s="11">
        <v>2760</v>
      </c>
      <c r="AF135" s="12">
        <v>7.4</v>
      </c>
      <c r="AG135" s="12">
        <f>SUM(AB135:AF135)</f>
      </c>
      <c r="AH135" s="3"/>
      <c r="AI135" s="3"/>
      <c r="AJ135" s="3"/>
      <c r="AK135" s="3"/>
      <c r="AL135" s="3"/>
      <c r="AO135" s="3" t="s">
        <v>224</v>
      </c>
      <c r="AP135" s="6">
        <f>Q135</f>
      </c>
    </row>
    <row r="136" ht="18" customHeight="1" spans="1:42" x14ac:dyDescent="0.25">
      <c r="A136" s="3" t="s">
        <v>38</v>
      </c>
      <c r="B136" s="3" t="s">
        <v>39</v>
      </c>
      <c r="C136" s="3" t="s">
        <v>40</v>
      </c>
      <c r="D136" s="3" t="s">
        <v>41</v>
      </c>
      <c r="E136" s="3" t="s">
        <v>195</v>
      </c>
      <c r="F136" s="3" t="s">
        <v>791</v>
      </c>
      <c r="G136" s="4" t="s">
        <v>47</v>
      </c>
      <c r="H136" s="3" t="s">
        <v>792</v>
      </c>
      <c r="I136" s="3" t="s">
        <v>442</v>
      </c>
      <c r="J136" s="3" t="s">
        <v>793</v>
      </c>
      <c r="K136" s="5" t="s">
        <v>169</v>
      </c>
      <c r="L136" s="5" t="s">
        <v>67</v>
      </c>
      <c r="M136" s="5" t="s">
        <v>794</v>
      </c>
      <c r="N136" s="3" t="s">
        <v>98</v>
      </c>
      <c r="O136" s="6">
        <v>8333</v>
      </c>
      <c r="P136" s="6">
        <v>9201</v>
      </c>
      <c r="Q136" s="6">
        <f>P136-O136</f>
      </c>
      <c r="R136" s="7">
        <v>758</v>
      </c>
      <c r="S136" s="6">
        <f>IF(Q136-R136&lt;0,"0",Q136-R136)</f>
      </c>
      <c r="T136" s="6">
        <v>0</v>
      </c>
      <c r="U136" s="8">
        <v>46175.55902777778</v>
      </c>
      <c r="V136" s="8">
        <v>46178.74339120371</v>
      </c>
      <c r="W136" s="9">
        <f>V136-U136</f>
      </c>
      <c r="X136" s="10">
        <v>1.4166666666666667</v>
      </c>
      <c r="Y136" s="9">
        <f>IF(W136-X136&lt;0,"00:00:00",W136-X136)</f>
      </c>
      <c r="Z136" s="11">
        <v>145</v>
      </c>
      <c r="AA136" s="11">
        <v>0</v>
      </c>
      <c r="AB136" s="12">
        <f>Y136*Z136*24</f>
      </c>
      <c r="AC136" s="12">
        <f>S136*AA136</f>
      </c>
      <c r="AD136" s="12">
        <f>T136*AA136</f>
      </c>
      <c r="AE136" s="11">
        <v>7412.45</v>
      </c>
      <c r="AF136" s="12">
        <v>85.3</v>
      </c>
      <c r="AG136" s="12">
        <f>SUM(AB136:AF136)</f>
      </c>
      <c r="AH136" s="3"/>
      <c r="AI136" s="3"/>
      <c r="AJ136" s="3"/>
      <c r="AK136" s="3"/>
      <c r="AL136" s="3"/>
      <c r="AO136" s="3" t="s">
        <v>202</v>
      </c>
      <c r="AP136" s="6">
        <f>Q136</f>
      </c>
    </row>
    <row r="137" ht="18" customHeight="1" spans="1:42" x14ac:dyDescent="0.25">
      <c r="A137" s="3" t="s">
        <v>38</v>
      </c>
      <c r="B137" s="3" t="s">
        <v>39</v>
      </c>
      <c r="C137" s="3" t="s">
        <v>40</v>
      </c>
      <c r="D137" s="3" t="s">
        <v>41</v>
      </c>
      <c r="E137" s="3" t="s">
        <v>195</v>
      </c>
      <c r="F137" s="3" t="s">
        <v>795</v>
      </c>
      <c r="G137" s="3" t="s">
        <v>796</v>
      </c>
      <c r="H137" s="3" t="s">
        <v>797</v>
      </c>
      <c r="I137" s="3" t="s">
        <v>211</v>
      </c>
      <c r="J137" s="3" t="s">
        <v>798</v>
      </c>
      <c r="K137" s="5" t="s">
        <v>169</v>
      </c>
      <c r="L137" s="5" t="s">
        <v>67</v>
      </c>
      <c r="M137" s="5" t="s">
        <v>794</v>
      </c>
      <c r="N137" s="3" t="s">
        <v>98</v>
      </c>
      <c r="O137" s="6">
        <v>425977</v>
      </c>
      <c r="P137" s="6">
        <v>427146</v>
      </c>
      <c r="Q137" s="6">
        <f>P137-O137</f>
      </c>
      <c r="R137" s="7">
        <v>758</v>
      </c>
      <c r="S137" s="6">
        <f>IF(Q137-R137&lt;0,"0",Q137-R137)</f>
      </c>
      <c r="T137" s="6">
        <v>0</v>
      </c>
      <c r="U137" s="8">
        <v>46175.59375</v>
      </c>
      <c r="V137" s="8">
        <v>46178.68891203703</v>
      </c>
      <c r="W137" s="9">
        <f>V137-U137</f>
      </c>
      <c r="X137" s="10">
        <v>1.4166666666666667</v>
      </c>
      <c r="Y137" s="9">
        <f>IF(W137-X137&lt;0,"00:00:00",W137-X137)</f>
      </c>
      <c r="Z137" s="11">
        <v>145</v>
      </c>
      <c r="AA137" s="11">
        <v>0</v>
      </c>
      <c r="AB137" s="12">
        <f>Y137*Z137*24</f>
      </c>
      <c r="AC137" s="12">
        <f>S137*AA137</f>
      </c>
      <c r="AD137" s="12">
        <f>T137*AA137</f>
      </c>
      <c r="AE137" s="11">
        <v>7412.45</v>
      </c>
      <c r="AF137" s="12">
        <v>85.3</v>
      </c>
      <c r="AG137" s="12">
        <f>SUM(AB137:AF137)</f>
      </c>
      <c r="AH137" s="3"/>
      <c r="AI137" s="3"/>
      <c r="AJ137" s="3"/>
      <c r="AK137" s="3"/>
      <c r="AL137" s="3"/>
      <c r="AO137" s="3" t="s">
        <v>202</v>
      </c>
      <c r="AP137" s="6">
        <f>Q137</f>
      </c>
    </row>
    <row r="138" ht="18" customHeight="1" spans="1:42" x14ac:dyDescent="0.25">
      <c r="A138" s="3" t="s">
        <v>38</v>
      </c>
      <c r="B138" s="3" t="s">
        <v>39</v>
      </c>
      <c r="C138" s="3" t="s">
        <v>40</v>
      </c>
      <c r="D138" s="3" t="s">
        <v>41</v>
      </c>
      <c r="E138" s="3" t="s">
        <v>195</v>
      </c>
      <c r="F138" s="3" t="s">
        <v>799</v>
      </c>
      <c r="G138" s="4" t="s">
        <v>47</v>
      </c>
      <c r="H138" s="3" t="s">
        <v>800</v>
      </c>
      <c r="I138" s="3" t="s">
        <v>216</v>
      </c>
      <c r="J138" s="3" t="s">
        <v>801</v>
      </c>
      <c r="K138" s="5" t="s">
        <v>169</v>
      </c>
      <c r="L138" s="5" t="s">
        <v>67</v>
      </c>
      <c r="M138" s="5" t="s">
        <v>794</v>
      </c>
      <c r="N138" s="3" t="s">
        <v>98</v>
      </c>
      <c r="O138" s="6">
        <v>24880</v>
      </c>
      <c r="P138" s="6">
        <v>25793</v>
      </c>
      <c r="Q138" s="6">
        <f>P138-O138</f>
      </c>
      <c r="R138" s="7">
        <v>758</v>
      </c>
      <c r="S138" s="6">
        <f>IF(Q138-R138&lt;0,"0",Q138-R138)</f>
      </c>
      <c r="T138" s="6">
        <v>0</v>
      </c>
      <c r="U138" s="8">
        <v>46175.59375</v>
      </c>
      <c r="V138" s="8">
        <v>46178.74564814815</v>
      </c>
      <c r="W138" s="9">
        <f>V138-U138</f>
      </c>
      <c r="X138" s="10">
        <v>1.4166666666666667</v>
      </c>
      <c r="Y138" s="9">
        <f>IF(W138-X138&lt;0,"00:00:00",W138-X138)</f>
      </c>
      <c r="Z138" s="11">
        <v>145</v>
      </c>
      <c r="AA138" s="11">
        <v>0</v>
      </c>
      <c r="AB138" s="12">
        <f>Y138*Z138*24</f>
      </c>
      <c r="AC138" s="12">
        <f>S138*AA138</f>
      </c>
      <c r="AD138" s="12">
        <f>T138*AA138</f>
      </c>
      <c r="AE138" s="11">
        <v>7412.45</v>
      </c>
      <c r="AF138" s="12">
        <v>85.3</v>
      </c>
      <c r="AG138" s="12">
        <f>SUM(AB138:AF138)</f>
      </c>
      <c r="AH138" s="3"/>
      <c r="AI138" s="3"/>
      <c r="AJ138" s="3"/>
      <c r="AK138" s="3"/>
      <c r="AL138" s="3"/>
      <c r="AO138" s="3" t="s">
        <v>202</v>
      </c>
      <c r="AP138" s="6">
        <f>Q138</f>
      </c>
    </row>
    <row r="139" ht="18" customHeight="1" spans="1:42" x14ac:dyDescent="0.25">
      <c r="A139" s="3" t="s">
        <v>38</v>
      </c>
      <c r="B139" s="3" t="s">
        <v>39</v>
      </c>
      <c r="C139" s="3" t="s">
        <v>40</v>
      </c>
      <c r="D139" s="3" t="s">
        <v>41</v>
      </c>
      <c r="E139" s="3" t="s">
        <v>195</v>
      </c>
      <c r="F139" s="3" t="s">
        <v>802</v>
      </c>
      <c r="G139" s="4" t="s">
        <v>47</v>
      </c>
      <c r="H139" s="3" t="s">
        <v>803</v>
      </c>
      <c r="I139" s="3" t="s">
        <v>735</v>
      </c>
      <c r="J139" s="3" t="s">
        <v>804</v>
      </c>
      <c r="K139" s="5" t="s">
        <v>169</v>
      </c>
      <c r="L139" s="5" t="s">
        <v>67</v>
      </c>
      <c r="M139" s="5" t="s">
        <v>794</v>
      </c>
      <c r="N139" s="3" t="s">
        <v>98</v>
      </c>
      <c r="O139" s="6">
        <v>74537</v>
      </c>
      <c r="P139" s="6">
        <v>75677</v>
      </c>
      <c r="Q139" s="6">
        <f>P139-O139</f>
      </c>
      <c r="R139" s="7">
        <v>758</v>
      </c>
      <c r="S139" s="6">
        <f>IF(Q139-R139&lt;0,"0",Q139-R139)</f>
      </c>
      <c r="T139" s="6">
        <v>0</v>
      </c>
      <c r="U139" s="8">
        <v>46175.59722222222</v>
      </c>
      <c r="V139" s="8">
        <v>46178.69055555556</v>
      </c>
      <c r="W139" s="9">
        <f>V139-U139</f>
      </c>
      <c r="X139" s="10">
        <v>1.4166666666666667</v>
      </c>
      <c r="Y139" s="9">
        <f>IF(W139-X139&lt;0,"00:00:00",W139-X139)</f>
      </c>
      <c r="Z139" s="11">
        <v>145</v>
      </c>
      <c r="AA139" s="11">
        <v>0</v>
      </c>
      <c r="AB139" s="12">
        <f>Y139*Z139*24</f>
      </c>
      <c r="AC139" s="12">
        <f>S139*AA139</f>
      </c>
      <c r="AD139" s="12">
        <f>T139*AA139</f>
      </c>
      <c r="AE139" s="11">
        <v>7412.45</v>
      </c>
      <c r="AF139" s="12">
        <v>85.3</v>
      </c>
      <c r="AG139" s="12">
        <f>SUM(AB139:AF139)</f>
      </c>
      <c r="AH139" s="3"/>
      <c r="AI139" s="3"/>
      <c r="AJ139" s="3"/>
      <c r="AK139" s="3"/>
      <c r="AL139" s="3"/>
      <c r="AO139" s="3" t="s">
        <v>202</v>
      </c>
      <c r="AP139" s="6">
        <f>Q139</f>
      </c>
    </row>
    <row r="140" ht="18" customHeight="1" spans="1:42" x14ac:dyDescent="0.25">
      <c r="A140" s="3" t="s">
        <v>38</v>
      </c>
      <c r="B140" s="3" t="s">
        <v>39</v>
      </c>
      <c r="C140" s="3" t="s">
        <v>40</v>
      </c>
      <c r="D140" s="3" t="s">
        <v>41</v>
      </c>
      <c r="E140" s="3" t="s">
        <v>646</v>
      </c>
      <c r="F140" s="3" t="s">
        <v>805</v>
      </c>
      <c r="G140" s="4" t="s">
        <v>47</v>
      </c>
      <c r="H140" s="3" t="s">
        <v>806</v>
      </c>
      <c r="I140" s="3" t="s">
        <v>265</v>
      </c>
      <c r="J140" s="3" t="s">
        <v>807</v>
      </c>
      <c r="K140" s="5" t="s">
        <v>169</v>
      </c>
      <c r="L140" s="5" t="s">
        <v>67</v>
      </c>
      <c r="M140" s="5" t="s">
        <v>651</v>
      </c>
      <c r="N140" s="3" t="s">
        <v>345</v>
      </c>
      <c r="O140" s="6">
        <v>7963</v>
      </c>
      <c r="P140" s="6">
        <v>10549</v>
      </c>
      <c r="Q140" s="6">
        <f>P140-O140</f>
      </c>
      <c r="R140" s="7">
        <v>2650</v>
      </c>
      <c r="S140" s="6">
        <f>IF(Q140-R140&lt;0,"0",Q140-R140)</f>
      </c>
      <c r="T140" s="6">
        <v>0</v>
      </c>
      <c r="U140" s="8">
        <v>46176.25</v>
      </c>
      <c r="V140" s="8">
        <v>46181.410416666666</v>
      </c>
      <c r="W140" s="9">
        <f>V140-U140</f>
      </c>
      <c r="X140" s="10">
        <v>4.833333333333333</v>
      </c>
      <c r="Y140" s="9">
        <f>IF(W140-X140&lt;0,"00:00:00",W140-X140)</f>
      </c>
      <c r="Z140" s="11">
        <v>145</v>
      </c>
      <c r="AA140" s="11">
        <v>0</v>
      </c>
      <c r="AB140" s="12">
        <f>Y140*Z140*24</f>
      </c>
      <c r="AC140" s="12">
        <f>S140*AA140</f>
      </c>
      <c r="AD140" s="12">
        <f>T140*AA140</f>
      </c>
      <c r="AE140" s="11">
        <v>26558.75</v>
      </c>
      <c r="AF140" s="12">
        <v>29.6</v>
      </c>
      <c r="AG140" s="12">
        <f>SUM(AB140:AF140)</f>
      </c>
      <c r="AH140" s="3"/>
      <c r="AI140" s="3"/>
      <c r="AJ140" s="3"/>
      <c r="AK140" s="3"/>
      <c r="AL140" s="3"/>
      <c r="AO140" s="3" t="s">
        <v>808</v>
      </c>
      <c r="AP140" s="6">
        <f>Q140</f>
      </c>
    </row>
    <row r="141" ht="18" customHeight="1" spans="1:42" x14ac:dyDescent="0.25">
      <c r="A141" s="3" t="s">
        <v>38</v>
      </c>
      <c r="B141" s="3" t="s">
        <v>39</v>
      </c>
      <c r="C141" s="3" t="s">
        <v>40</v>
      </c>
      <c r="D141" s="3" t="s">
        <v>41</v>
      </c>
      <c r="E141" s="3" t="s">
        <v>60</v>
      </c>
      <c r="F141" s="3" t="s">
        <v>809</v>
      </c>
      <c r="G141" s="4" t="s">
        <v>47</v>
      </c>
      <c r="H141" s="3" t="s">
        <v>810</v>
      </c>
      <c r="I141" s="3" t="s">
        <v>726</v>
      </c>
      <c r="J141" s="3" t="s">
        <v>811</v>
      </c>
      <c r="K141" s="5" t="s">
        <v>812</v>
      </c>
      <c r="L141" s="5" t="s">
        <v>67</v>
      </c>
      <c r="M141" s="5" t="s">
        <v>169</v>
      </c>
      <c r="N141" s="3" t="s">
        <v>67</v>
      </c>
      <c r="O141" s="6">
        <v>51094</v>
      </c>
      <c r="P141" s="6">
        <v>51209</v>
      </c>
      <c r="Q141" s="6">
        <v>200</v>
      </c>
      <c r="R141" s="7">
        <v>200</v>
      </c>
      <c r="S141" s="6">
        <f>IF(Q141-R141&lt;0,"0",Q141-R141)</f>
      </c>
      <c r="T141" s="6">
        <v>0</v>
      </c>
      <c r="U141" s="8">
        <v>46176.45833333333</v>
      </c>
      <c r="V141" s="8">
        <v>46176.6265625</v>
      </c>
      <c r="W141" s="9">
        <f>V141-U141</f>
      </c>
      <c r="X141" s="10">
        <v>0.25</v>
      </c>
      <c r="Y141" s="9">
        <f>IF(W141-X141&lt;0,"00:00:00",W141-X141)</f>
      </c>
      <c r="Z141" s="11">
        <v>145</v>
      </c>
      <c r="AA141" s="11">
        <v>0</v>
      </c>
      <c r="AB141" s="12">
        <f>Y141*Z141*24</f>
      </c>
      <c r="AC141" s="12">
        <f>S141*AA141</f>
      </c>
      <c r="AD141" s="12">
        <f>T141*AA141</f>
      </c>
      <c r="AE141" s="11">
        <v>1380</v>
      </c>
      <c r="AF141" s="12">
        <v>0</v>
      </c>
      <c r="AG141" s="12">
        <f>SUM(AB141:AF141)</f>
      </c>
      <c r="AH141" s="3"/>
      <c r="AI141" s="3"/>
      <c r="AJ141" s="3"/>
      <c r="AK141" s="3"/>
      <c r="AL141" s="3"/>
      <c r="AO141" s="3" t="s">
        <v>80</v>
      </c>
      <c r="AP141" s="6">
        <f>Q141</f>
      </c>
    </row>
    <row r="142" ht="18" customHeight="1" spans="1:42" x14ac:dyDescent="0.25">
      <c r="A142" s="3" t="s">
        <v>38</v>
      </c>
      <c r="B142" s="3" t="s">
        <v>39</v>
      </c>
      <c r="C142" s="3" t="s">
        <v>40</v>
      </c>
      <c r="D142" s="3" t="s">
        <v>41</v>
      </c>
      <c r="E142" s="3" t="s">
        <v>123</v>
      </c>
      <c r="F142" s="3" t="s">
        <v>813</v>
      </c>
      <c r="G142" s="4" t="s">
        <v>47</v>
      </c>
      <c r="H142" s="3" t="s">
        <v>814</v>
      </c>
      <c r="I142" s="3" t="s">
        <v>815</v>
      </c>
      <c r="J142" s="3" t="s">
        <v>816</v>
      </c>
      <c r="K142" s="5" t="s">
        <v>817</v>
      </c>
      <c r="L142" s="5" t="s">
        <v>67</v>
      </c>
      <c r="M142" s="5" t="s">
        <v>79</v>
      </c>
      <c r="N142" s="3" t="s">
        <v>67</v>
      </c>
      <c r="O142" s="6">
        <v>28798</v>
      </c>
      <c r="P142" s="6">
        <v>28833</v>
      </c>
      <c r="Q142" s="6">
        <f>P142-O142</f>
      </c>
      <c r="R142" s="7">
        <v>100</v>
      </c>
      <c r="S142" s="6">
        <f>IF(Q142-R142&lt;0,"0",Q142-R142)</f>
      </c>
      <c r="T142" s="6">
        <v>0</v>
      </c>
      <c r="U142" s="8">
        <v>46176.41666666667</v>
      </c>
      <c r="V142" s="8">
        <v>46176.48533564815</v>
      </c>
      <c r="W142" s="9">
        <f>V142-U142</f>
      </c>
      <c r="X142" s="10">
        <v>0.25</v>
      </c>
      <c r="Y142" s="9">
        <f>IF(W142-X142&lt;0,"00:00:00",W142-X142)</f>
      </c>
      <c r="Z142" s="11">
        <v>145</v>
      </c>
      <c r="AA142" s="11">
        <v>0</v>
      </c>
      <c r="AB142" s="12">
        <f>Y142*Z142*24</f>
      </c>
      <c r="AC142" s="12">
        <f>S142*AA142</f>
      </c>
      <c r="AD142" s="12">
        <f>T142*AA142</f>
      </c>
      <c r="AE142" s="11">
        <v>690</v>
      </c>
      <c r="AF142" s="12">
        <v>5.9</v>
      </c>
      <c r="AG142" s="12">
        <f>SUM(AB142:AF142)</f>
      </c>
      <c r="AH142" s="3"/>
      <c r="AI142" s="3"/>
      <c r="AJ142" s="3"/>
      <c r="AK142" s="3"/>
      <c r="AL142" s="3"/>
      <c r="AO142" s="3" t="s">
        <v>69</v>
      </c>
      <c r="AP142" s="6">
        <f>Q142</f>
      </c>
    </row>
    <row r="143" ht="18" customHeight="1" spans="1:42" x14ac:dyDescent="0.25">
      <c r="A143" s="3" t="s">
        <v>38</v>
      </c>
      <c r="B143" s="3" t="s">
        <v>39</v>
      </c>
      <c r="C143" s="3" t="s">
        <v>40</v>
      </c>
      <c r="D143" s="3" t="s">
        <v>41</v>
      </c>
      <c r="E143" s="3" t="s">
        <v>316</v>
      </c>
      <c r="F143" s="3" t="s">
        <v>818</v>
      </c>
      <c r="G143" s="4" t="s">
        <v>47</v>
      </c>
      <c r="H143" s="3" t="s">
        <v>819</v>
      </c>
      <c r="I143" s="3" t="s">
        <v>726</v>
      </c>
      <c r="J143" s="3" t="s">
        <v>581</v>
      </c>
      <c r="K143" s="5" t="s">
        <v>321</v>
      </c>
      <c r="L143" s="5" t="s">
        <v>67</v>
      </c>
      <c r="M143" s="5" t="s">
        <v>79</v>
      </c>
      <c r="N143" s="3" t="s">
        <v>67</v>
      </c>
      <c r="O143" s="6">
        <v>50796</v>
      </c>
      <c r="P143" s="6">
        <v>50903</v>
      </c>
      <c r="Q143" s="6">
        <f>P143-O143</f>
      </c>
      <c r="R143" s="7">
        <v>100</v>
      </c>
      <c r="S143" s="6">
        <f>IF(Q143-R143&lt;0,"0",Q143-R143)</f>
      </c>
      <c r="T143" s="6">
        <v>0</v>
      </c>
      <c r="U143" s="8">
        <v>46175.86111111111</v>
      </c>
      <c r="V143" s="8">
        <v>46176.00607638889</v>
      </c>
      <c r="W143" s="9">
        <f>V143-U143</f>
      </c>
      <c r="X143" s="10">
        <v>0.125</v>
      </c>
      <c r="Y143" s="9">
        <f>IF(W143-X143&lt;0,"00:00:00",W143-X143)</f>
      </c>
      <c r="Z143" s="11">
        <v>145</v>
      </c>
      <c r="AA143" s="11">
        <v>0</v>
      </c>
      <c r="AB143" s="12">
        <f>Y143*Z143*24</f>
      </c>
      <c r="AC143" s="12">
        <f>S143*AA143</f>
      </c>
      <c r="AD143" s="12">
        <f>T143*AA143</f>
      </c>
      <c r="AE143" s="11">
        <v>690</v>
      </c>
      <c r="AF143" s="12">
        <v>30.3</v>
      </c>
      <c r="AG143" s="12">
        <f>SUM(AB143:AF143)</f>
      </c>
      <c r="AH143" s="3"/>
      <c r="AI143" s="3"/>
      <c r="AJ143" s="3"/>
      <c r="AK143" s="3"/>
      <c r="AL143" s="3"/>
      <c r="AO143" s="3" t="s">
        <v>820</v>
      </c>
      <c r="AP143" s="6">
        <f>Q143</f>
      </c>
    </row>
    <row r="144" ht="18" customHeight="1" spans="1:42" x14ac:dyDescent="0.25">
      <c r="A144" s="3" t="s">
        <v>38</v>
      </c>
      <c r="B144" s="3" t="s">
        <v>39</v>
      </c>
      <c r="C144" s="3" t="s">
        <v>40</v>
      </c>
      <c r="D144" s="3" t="s">
        <v>41</v>
      </c>
      <c r="E144" s="3" t="s">
        <v>653</v>
      </c>
      <c r="F144" s="3" t="s">
        <v>821</v>
      </c>
      <c r="G144" s="4" t="s">
        <v>47</v>
      </c>
      <c r="H144" s="3" t="s">
        <v>822</v>
      </c>
      <c r="I144" s="3" t="s">
        <v>823</v>
      </c>
      <c r="J144" s="3" t="s">
        <v>824</v>
      </c>
      <c r="K144" s="5" t="s">
        <v>825</v>
      </c>
      <c r="L144" s="5" t="s">
        <v>98</v>
      </c>
      <c r="M144" s="5" t="s">
        <v>68</v>
      </c>
      <c r="N144" s="4" t="s">
        <v>47</v>
      </c>
      <c r="O144" s="6">
        <v>110426</v>
      </c>
      <c r="P144" s="6">
        <v>110626</v>
      </c>
      <c r="Q144" s="6">
        <v>200</v>
      </c>
      <c r="R144" s="7">
        <v>200</v>
      </c>
      <c r="S144" s="6">
        <f>IF(Q144-R144&lt;0,"0",Q144-R144)</f>
      </c>
      <c r="T144" s="6">
        <v>0</v>
      </c>
      <c r="U144" s="8">
        <v>46175.90277777778</v>
      </c>
      <c r="V144" s="8">
        <v>46176.05607638889</v>
      </c>
      <c r="W144" s="9">
        <f>V144-U144</f>
      </c>
      <c r="X144" s="10">
        <v>0.25</v>
      </c>
      <c r="Y144" s="9">
        <f>IF(W144-X144&lt;0,"00:00:00",W144-X144)</f>
      </c>
      <c r="Z144" s="11">
        <v>145</v>
      </c>
      <c r="AA144" s="11">
        <v>0</v>
      </c>
      <c r="AB144" s="12">
        <f>Y144*Z144*24</f>
      </c>
      <c r="AC144" s="12">
        <f>S144*AA144</f>
      </c>
      <c r="AD144" s="12">
        <f>T144*AA144</f>
      </c>
      <c r="AE144" s="11">
        <v>1380</v>
      </c>
      <c r="AF144" s="12">
        <v>35</v>
      </c>
      <c r="AG144" s="12">
        <f>SUM(AB144:AF144)</f>
      </c>
      <c r="AH144" s="3"/>
      <c r="AI144" s="3"/>
      <c r="AJ144" s="3"/>
      <c r="AK144" s="3"/>
      <c r="AL144" s="3"/>
      <c r="AO144" s="3" t="s">
        <v>80</v>
      </c>
      <c r="AP144" s="6">
        <f>Q144</f>
      </c>
    </row>
    <row r="145" ht="18" customHeight="1" spans="1:42" x14ac:dyDescent="0.25">
      <c r="A145" s="3" t="s">
        <v>38</v>
      </c>
      <c r="B145" s="3" t="s">
        <v>39</v>
      </c>
      <c r="C145" s="3" t="s">
        <v>40</v>
      </c>
      <c r="D145" s="3" t="s">
        <v>41</v>
      </c>
      <c r="E145" s="3" t="s">
        <v>450</v>
      </c>
      <c r="F145" s="3" t="s">
        <v>826</v>
      </c>
      <c r="G145" s="4" t="s">
        <v>47</v>
      </c>
      <c r="H145" s="3" t="s">
        <v>827</v>
      </c>
      <c r="I145" s="3" t="s">
        <v>585</v>
      </c>
      <c r="J145" s="3" t="s">
        <v>828</v>
      </c>
      <c r="K145" s="5" t="s">
        <v>394</v>
      </c>
      <c r="L145" s="5" t="s">
        <v>88</v>
      </c>
      <c r="M145" s="5" t="s">
        <v>99</v>
      </c>
      <c r="N145" s="4" t="s">
        <v>47</v>
      </c>
      <c r="O145" s="6">
        <v>256517</v>
      </c>
      <c r="P145" s="6">
        <v>256830</v>
      </c>
      <c r="Q145" s="6">
        <v>300</v>
      </c>
      <c r="R145" s="7">
        <v>300</v>
      </c>
      <c r="S145" s="6">
        <f>IF(Q145-R145&lt;0,"0",Q145-R145)</f>
      </c>
      <c r="T145" s="6">
        <v>0</v>
      </c>
      <c r="U145" s="8">
        <v>46176.1875</v>
      </c>
      <c r="V145" s="8">
        <v>46176.415</v>
      </c>
      <c r="W145" s="9">
        <f>V145-U145</f>
      </c>
      <c r="X145" s="10">
        <v>0.2916666666666667</v>
      </c>
      <c r="Y145" s="9">
        <f>IF(W145-X145&lt;0,"00:00:00",W145-X145)</f>
      </c>
      <c r="Z145" s="11">
        <v>145</v>
      </c>
      <c r="AA145" s="11">
        <v>0</v>
      </c>
      <c r="AB145" s="12">
        <f>Y145*Z145*24</f>
      </c>
      <c r="AC145" s="12">
        <f>S145*AA145</f>
      </c>
      <c r="AD145" s="12">
        <f>T145*AA145</f>
      </c>
      <c r="AE145" s="11">
        <v>2070</v>
      </c>
      <c r="AF145" s="12">
        <v>40</v>
      </c>
      <c r="AG145" s="12">
        <f>SUM(AB145:AF145)</f>
      </c>
      <c r="AH145" s="3"/>
      <c r="AI145" s="3"/>
      <c r="AJ145" s="3"/>
      <c r="AK145" s="3"/>
      <c r="AL145" s="3"/>
      <c r="AO145" s="3" t="s">
        <v>457</v>
      </c>
      <c r="AP145" s="6">
        <f>Q145</f>
      </c>
    </row>
    <row r="146" ht="18" customHeight="1" spans="1:42" x14ac:dyDescent="0.25">
      <c r="A146" s="3" t="s">
        <v>38</v>
      </c>
      <c r="B146" s="3" t="s">
        <v>39</v>
      </c>
      <c r="C146" s="3" t="s">
        <v>40</v>
      </c>
      <c r="D146" s="3" t="s">
        <v>41</v>
      </c>
      <c r="E146" s="3" t="s">
        <v>51</v>
      </c>
      <c r="F146" s="3" t="s">
        <v>829</v>
      </c>
      <c r="G146" s="4" t="s">
        <v>47</v>
      </c>
      <c r="H146" s="3" t="s">
        <v>830</v>
      </c>
      <c r="I146" s="3" t="s">
        <v>831</v>
      </c>
      <c r="J146" s="3" t="s">
        <v>56</v>
      </c>
      <c r="K146" s="5" t="s">
        <v>832</v>
      </c>
      <c r="L146" s="5" t="s">
        <v>58</v>
      </c>
      <c r="M146" s="5" t="s">
        <v>833</v>
      </c>
      <c r="N146" s="3" t="s">
        <v>58</v>
      </c>
      <c r="O146" s="6">
        <v>81946</v>
      </c>
      <c r="P146" s="6">
        <v>81973</v>
      </c>
      <c r="Q146" s="6">
        <f>P146-O146</f>
      </c>
      <c r="R146" s="7">
        <v>100</v>
      </c>
      <c r="S146" s="6">
        <f>IF(Q146-R146&lt;0,"0",Q146-R146)</f>
      </c>
      <c r="T146" s="6">
        <v>0</v>
      </c>
      <c r="U146" s="8">
        <v>46176.25</v>
      </c>
      <c r="V146" s="8">
        <v>46176.32277777778</v>
      </c>
      <c r="W146" s="9">
        <f>V146-U146</f>
      </c>
      <c r="X146" s="10">
        <v>0.125</v>
      </c>
      <c r="Y146" s="9">
        <f>IF(W146-X146&lt;0,"00:00:00",W146-X146)</f>
      </c>
      <c r="Z146" s="11">
        <v>145</v>
      </c>
      <c r="AA146" s="11">
        <v>6.9</v>
      </c>
      <c r="AB146" s="12">
        <f>Y146*Z146*24</f>
      </c>
      <c r="AC146" s="12">
        <f>S146*AA146</f>
      </c>
      <c r="AD146" s="12">
        <f>T146*AA146</f>
      </c>
      <c r="AE146" s="11">
        <v>690</v>
      </c>
      <c r="AF146" s="12">
        <v>0</v>
      </c>
      <c r="AG146" s="12">
        <f>SUM(AB146:AF146)</f>
      </c>
      <c r="AH146" s="3"/>
      <c r="AI146" s="3"/>
      <c r="AJ146" s="3"/>
      <c r="AK146" s="3"/>
      <c r="AL146" s="3"/>
      <c r="AO146" s="3" t="s">
        <v>59</v>
      </c>
      <c r="AP146" s="6">
        <f>Q146</f>
      </c>
    </row>
    <row r="147" ht="18" customHeight="1" spans="1:42" x14ac:dyDescent="0.25">
      <c r="A147" s="3" t="s">
        <v>38</v>
      </c>
      <c r="B147" s="3" t="s">
        <v>39</v>
      </c>
      <c r="C147" s="3" t="s">
        <v>40</v>
      </c>
      <c r="D147" s="3" t="s">
        <v>41</v>
      </c>
      <c r="E147" s="3" t="s">
        <v>243</v>
      </c>
      <c r="F147" s="3" t="s">
        <v>834</v>
      </c>
      <c r="G147" s="4" t="s">
        <v>47</v>
      </c>
      <c r="H147" s="3" t="s">
        <v>835</v>
      </c>
      <c r="I147" s="3" t="s">
        <v>836</v>
      </c>
      <c r="J147" s="3" t="s">
        <v>837</v>
      </c>
      <c r="K147" s="5" t="s">
        <v>249</v>
      </c>
      <c r="L147" s="5" t="s">
        <v>250</v>
      </c>
      <c r="M147" s="5" t="s">
        <v>838</v>
      </c>
      <c r="N147" s="3" t="s">
        <v>250</v>
      </c>
      <c r="O147" s="6">
        <v>91271</v>
      </c>
      <c r="P147" s="6">
        <v>91291</v>
      </c>
      <c r="Q147" s="6">
        <f>P147-O147</f>
      </c>
      <c r="R147" s="7">
        <v>100</v>
      </c>
      <c r="S147" s="6">
        <f>IF(Q147-R147&lt;0,"0",Q147-R147)</f>
      </c>
      <c r="T147" s="6">
        <v>0</v>
      </c>
      <c r="U147" s="8">
        <v>46176.29166666667</v>
      </c>
      <c r="V147" s="8">
        <v>46176.404062500005</v>
      </c>
      <c r="W147" s="9">
        <f>V147-U147</f>
      </c>
      <c r="X147" s="10">
        <v>0.125</v>
      </c>
      <c r="Y147" s="9">
        <f>IF(W147-X147&lt;0,"00:00:00",W147-X147)</f>
      </c>
      <c r="Z147" s="11">
        <v>145</v>
      </c>
      <c r="AA147" s="11">
        <v>6.9</v>
      </c>
      <c r="AB147" s="12">
        <f>Y147*Z147*24</f>
      </c>
      <c r="AC147" s="12">
        <f>S147*AA147</f>
      </c>
      <c r="AD147" s="12">
        <f>T147*AA147</f>
      </c>
      <c r="AE147" s="11">
        <v>690</v>
      </c>
      <c r="AF147" s="12">
        <v>0</v>
      </c>
      <c r="AG147" s="12">
        <f>SUM(AB147:AF147)</f>
      </c>
      <c r="AH147" s="3"/>
      <c r="AI147" s="3"/>
      <c r="AJ147" s="3"/>
      <c r="AK147" s="3"/>
      <c r="AL147" s="3"/>
      <c r="AO147" s="3" t="s">
        <v>90</v>
      </c>
      <c r="AP147" s="6">
        <f>Q147</f>
      </c>
    </row>
    <row r="148" ht="18" customHeight="1" spans="1:42" x14ac:dyDescent="0.25">
      <c r="A148" s="3" t="s">
        <v>38</v>
      </c>
      <c r="B148" s="3" t="s">
        <v>39</v>
      </c>
      <c r="C148" s="3" t="s">
        <v>40</v>
      </c>
      <c r="D148" s="3" t="s">
        <v>41</v>
      </c>
      <c r="E148" s="3" t="s">
        <v>123</v>
      </c>
      <c r="F148" s="3" t="s">
        <v>839</v>
      </c>
      <c r="G148" s="4" t="s">
        <v>47</v>
      </c>
      <c r="H148" s="3" t="s">
        <v>840</v>
      </c>
      <c r="I148" s="3" t="s">
        <v>228</v>
      </c>
      <c r="J148" s="3" t="s">
        <v>841</v>
      </c>
      <c r="K148" s="5" t="s">
        <v>169</v>
      </c>
      <c r="L148" s="5" t="s">
        <v>67</v>
      </c>
      <c r="M148" s="5" t="s">
        <v>842</v>
      </c>
      <c r="N148" s="3" t="s">
        <v>67</v>
      </c>
      <c r="O148" s="6">
        <v>100945</v>
      </c>
      <c r="P148" s="6">
        <v>101005</v>
      </c>
      <c r="Q148" s="6">
        <f>P148-O148</f>
      </c>
      <c r="R148" s="7">
        <v>100</v>
      </c>
      <c r="S148" s="6">
        <f>IF(Q148-R148&lt;0,"0",Q148-R148)</f>
      </c>
      <c r="T148" s="6">
        <v>0</v>
      </c>
      <c r="U148" s="8">
        <v>46176.33333333333</v>
      </c>
      <c r="V148" s="8">
        <v>46176.51809027778</v>
      </c>
      <c r="W148" s="9">
        <f>V148-U148</f>
      </c>
      <c r="X148" s="10">
        <v>0.125</v>
      </c>
      <c r="Y148" s="9">
        <f>IF(W148-X148&lt;0,"00:00:00",W148-X148)</f>
      </c>
      <c r="Z148" s="11">
        <v>145</v>
      </c>
      <c r="AA148" s="11">
        <v>0</v>
      </c>
      <c r="AB148" s="12">
        <f>Y148*Z148*24</f>
      </c>
      <c r="AC148" s="12">
        <f>S148*AA148</f>
      </c>
      <c r="AD148" s="12">
        <f>T148*AA148</f>
      </c>
      <c r="AE148" s="11">
        <v>690</v>
      </c>
      <c r="AF148" s="12">
        <v>13.7</v>
      </c>
      <c r="AG148" s="12">
        <f>SUM(AB148:AF148)</f>
      </c>
      <c r="AH148" s="3"/>
      <c r="AI148" s="3"/>
      <c r="AJ148" s="3"/>
      <c r="AK148" s="3"/>
      <c r="AL148" s="3"/>
      <c r="AO148" s="3" t="s">
        <v>778</v>
      </c>
      <c r="AP148" s="6">
        <f>Q148</f>
      </c>
    </row>
    <row r="149" ht="18" customHeight="1" spans="1:42" x14ac:dyDescent="0.25">
      <c r="A149" s="3" t="s">
        <v>38</v>
      </c>
      <c r="B149" s="3" t="s">
        <v>39</v>
      </c>
      <c r="C149" s="3" t="s">
        <v>40</v>
      </c>
      <c r="D149" s="3" t="s">
        <v>41</v>
      </c>
      <c r="E149" s="3" t="s">
        <v>150</v>
      </c>
      <c r="F149" s="3" t="s">
        <v>843</v>
      </c>
      <c r="G149" s="4" t="s">
        <v>47</v>
      </c>
      <c r="H149" s="3" t="s">
        <v>844</v>
      </c>
      <c r="I149" s="3" t="s">
        <v>311</v>
      </c>
      <c r="J149" s="3" t="s">
        <v>845</v>
      </c>
      <c r="K149" s="5" t="s">
        <v>846</v>
      </c>
      <c r="L149" s="5" t="s">
        <v>122</v>
      </c>
      <c r="M149" s="5" t="s">
        <v>68</v>
      </c>
      <c r="N149" s="4" t="s">
        <v>47</v>
      </c>
      <c r="O149" s="6">
        <v>126627</v>
      </c>
      <c r="P149" s="6">
        <v>126827</v>
      </c>
      <c r="Q149" s="6">
        <v>200</v>
      </c>
      <c r="R149" s="7">
        <v>200</v>
      </c>
      <c r="S149" s="6">
        <f>IF(Q149-R149&lt;0,"0",Q149-R149)</f>
      </c>
      <c r="T149" s="6">
        <v>0</v>
      </c>
      <c r="U149" s="8">
        <v>46176.84375</v>
      </c>
      <c r="V149" s="8">
        <v>46177.030185185184</v>
      </c>
      <c r="W149" s="9">
        <f>V149-U149</f>
      </c>
      <c r="X149" s="10">
        <v>0.25</v>
      </c>
      <c r="Y149" s="9">
        <f>IF(W149-X149&lt;0,"00:00:00",W149-X149)</f>
      </c>
      <c r="Z149" s="11">
        <v>145</v>
      </c>
      <c r="AA149" s="11">
        <v>0</v>
      </c>
      <c r="AB149" s="12">
        <f>Y149*Z149*24</f>
      </c>
      <c r="AC149" s="12">
        <f>S149*AA149</f>
      </c>
      <c r="AD149" s="12">
        <f>T149*AA149</f>
      </c>
      <c r="AE149" s="11">
        <v>1380</v>
      </c>
      <c r="AF149" s="12">
        <v>0</v>
      </c>
      <c r="AG149" s="12">
        <f>SUM(AB149:AF149)</f>
      </c>
      <c r="AH149" s="3"/>
      <c r="AI149" s="3"/>
      <c r="AJ149" s="3"/>
      <c r="AK149" s="3"/>
      <c r="AL149" s="3"/>
      <c r="AO149" s="3" t="s">
        <v>80</v>
      </c>
      <c r="AP149" s="6">
        <f>Q149</f>
      </c>
    </row>
    <row r="150" ht="18" customHeight="1" spans="1:42" x14ac:dyDescent="0.25">
      <c r="A150" s="3" t="s">
        <v>38</v>
      </c>
      <c r="B150" s="3" t="s">
        <v>39</v>
      </c>
      <c r="C150" s="3" t="s">
        <v>40</v>
      </c>
      <c r="D150" s="3" t="s">
        <v>117</v>
      </c>
      <c r="E150" s="3" t="s">
        <v>389</v>
      </c>
      <c r="F150" s="3" t="s">
        <v>847</v>
      </c>
      <c r="G150" s="4" t="s">
        <v>47</v>
      </c>
      <c r="H150" s="3" t="s">
        <v>848</v>
      </c>
      <c r="I150" s="3" t="s">
        <v>585</v>
      </c>
      <c r="J150" s="3" t="s">
        <v>849</v>
      </c>
      <c r="K150" s="5" t="s">
        <v>394</v>
      </c>
      <c r="L150" s="5" t="s">
        <v>88</v>
      </c>
      <c r="M150" s="5" t="s">
        <v>68</v>
      </c>
      <c r="N150" s="4" t="s">
        <v>47</v>
      </c>
      <c r="O150" s="6">
        <v>0</v>
      </c>
      <c r="P150" s="6">
        <v>0</v>
      </c>
      <c r="Q150" s="6">
        <v>0</v>
      </c>
      <c r="R150" s="7">
        <v>200</v>
      </c>
      <c r="S150" s="6">
        <f>IF(Q150-R150&lt;0,"0",Q150-R150)</f>
      </c>
      <c r="T150" s="6">
        <v>0</v>
      </c>
      <c r="U150" s="8">
        <v>46176.870833333334</v>
      </c>
      <c r="V150" s="8">
        <v>46176.870833333334</v>
      </c>
      <c r="W150" s="9">
        <f>V150-U150</f>
      </c>
      <c r="X150" s="10">
        <v>0.20833333333333334</v>
      </c>
      <c r="Y150" s="9">
        <f>IF(W150-X150&lt;0,"00:00:00",W150-X150)</f>
      </c>
      <c r="Z150" s="11">
        <v>145</v>
      </c>
      <c r="AA150" s="11">
        <v>0</v>
      </c>
      <c r="AB150" s="12">
        <f>Y150*Z150*24</f>
      </c>
      <c r="AC150" s="12">
        <f>S150*AA150</f>
      </c>
      <c r="AD150" s="12">
        <f>T150*AA150</f>
      </c>
      <c r="AE150" s="11">
        <v>690</v>
      </c>
      <c r="AF150" s="12">
        <v>0</v>
      </c>
      <c r="AG150" s="12">
        <f>SUM(AB150:AF150)</f>
      </c>
      <c r="AH150" s="3"/>
      <c r="AI150" s="3"/>
      <c r="AJ150" s="3"/>
      <c r="AK150" s="3"/>
      <c r="AL150" s="3"/>
      <c r="AO150" s="3" t="s">
        <v>395</v>
      </c>
      <c r="AP150" s="6">
        <f>Q150</f>
      </c>
    </row>
    <row r="151" ht="18" customHeight="1" spans="1:42" x14ac:dyDescent="0.25">
      <c r="A151" s="3" t="s">
        <v>38</v>
      </c>
      <c r="B151" s="3" t="s">
        <v>39</v>
      </c>
      <c r="C151" s="3" t="s">
        <v>40</v>
      </c>
      <c r="D151" s="3" t="s">
        <v>41</v>
      </c>
      <c r="E151" s="3" t="s">
        <v>850</v>
      </c>
      <c r="F151" s="3" t="s">
        <v>851</v>
      </c>
      <c r="G151" s="4" t="s">
        <v>47</v>
      </c>
      <c r="H151" s="3" t="s">
        <v>852</v>
      </c>
      <c r="I151" s="3" t="s">
        <v>260</v>
      </c>
      <c r="J151" s="3" t="s">
        <v>853</v>
      </c>
      <c r="K151" s="5" t="s">
        <v>169</v>
      </c>
      <c r="L151" s="5" t="s">
        <v>67</v>
      </c>
      <c r="M151" s="5" t="s">
        <v>79</v>
      </c>
      <c r="N151" s="3" t="s">
        <v>67</v>
      </c>
      <c r="O151" s="6">
        <v>32849</v>
      </c>
      <c r="P151" s="6">
        <v>32911</v>
      </c>
      <c r="Q151" s="6">
        <f>P151-O151</f>
      </c>
      <c r="R151" s="7">
        <v>100</v>
      </c>
      <c r="S151" s="6">
        <f>IF(Q151-R151&lt;0,"0",Q151-R151)</f>
      </c>
      <c r="T151" s="6">
        <v>0</v>
      </c>
      <c r="U151" s="8">
        <v>46176.940775462965</v>
      </c>
      <c r="V151" s="8">
        <v>46176.98792824074</v>
      </c>
      <c r="W151" s="9">
        <f>V151-U151</f>
      </c>
      <c r="X151" s="10">
        <v>0.25</v>
      </c>
      <c r="Y151" s="9">
        <f>IF(W151-X151&lt;0,"00:00:00",W151-X151)</f>
      </c>
      <c r="Z151" s="11">
        <v>145</v>
      </c>
      <c r="AA151" s="11">
        <v>0</v>
      </c>
      <c r="AB151" s="12">
        <f>Y151*Z151*24</f>
      </c>
      <c r="AC151" s="12">
        <f>S151*AA151</f>
      </c>
      <c r="AD151" s="12">
        <f>T151*AA151</f>
      </c>
      <c r="AE151" s="11">
        <v>690</v>
      </c>
      <c r="AF151" s="12">
        <v>5.9</v>
      </c>
      <c r="AG151" s="12">
        <f>SUM(AB151:AF151)</f>
      </c>
      <c r="AH151" s="3"/>
      <c r="AI151" s="3"/>
      <c r="AJ151" s="3"/>
      <c r="AK151" s="3"/>
      <c r="AL151" s="3"/>
      <c r="AO151" s="3" t="s">
        <v>69</v>
      </c>
      <c r="AP151" s="6">
        <f>Q151</f>
      </c>
    </row>
    <row r="152" ht="18" customHeight="1" spans="1:42" x14ac:dyDescent="0.25">
      <c r="A152" s="3" t="s">
        <v>38</v>
      </c>
      <c r="B152" s="3" t="s">
        <v>39</v>
      </c>
      <c r="C152" s="3" t="s">
        <v>40</v>
      </c>
      <c r="D152" s="3" t="s">
        <v>41</v>
      </c>
      <c r="E152" s="3" t="s">
        <v>653</v>
      </c>
      <c r="F152" s="3" t="s">
        <v>854</v>
      </c>
      <c r="G152" s="4" t="s">
        <v>47</v>
      </c>
      <c r="H152" s="3" t="s">
        <v>855</v>
      </c>
      <c r="I152" s="3" t="s">
        <v>856</v>
      </c>
      <c r="J152" s="3" t="s">
        <v>857</v>
      </c>
      <c r="K152" s="5" t="s">
        <v>825</v>
      </c>
      <c r="L152" s="5" t="s">
        <v>98</v>
      </c>
      <c r="M152" s="5" t="s">
        <v>68</v>
      </c>
      <c r="N152" s="4" t="s">
        <v>47</v>
      </c>
      <c r="O152" s="6">
        <v>121341</v>
      </c>
      <c r="P152" s="6">
        <v>121541</v>
      </c>
      <c r="Q152" s="6">
        <v>200</v>
      </c>
      <c r="R152" s="7">
        <v>200</v>
      </c>
      <c r="S152" s="6">
        <f>IF(Q152-R152&lt;0,"0",Q152-R152)</f>
      </c>
      <c r="T152" s="6">
        <v>0</v>
      </c>
      <c r="U152" s="8">
        <v>46176.930555555555</v>
      </c>
      <c r="V152" s="8">
        <v>46177.287141203706</v>
      </c>
      <c r="W152" s="9">
        <f>V152-U152</f>
      </c>
      <c r="X152" s="10">
        <v>0.25</v>
      </c>
      <c r="Y152" s="9">
        <f>IF(W152-X152&lt;0,"00:00:00",W152-X152)</f>
      </c>
      <c r="Z152" s="11">
        <v>145</v>
      </c>
      <c r="AA152" s="11">
        <v>0</v>
      </c>
      <c r="AB152" s="12">
        <f>Y152*Z152*24</f>
      </c>
      <c r="AC152" s="12">
        <f>S152*AA152</f>
      </c>
      <c r="AD152" s="12">
        <f>T152*AA152</f>
      </c>
      <c r="AE152" s="11">
        <v>1380</v>
      </c>
      <c r="AF152" s="12">
        <v>35</v>
      </c>
      <c r="AG152" s="12">
        <f>SUM(AB152:AF152)</f>
      </c>
      <c r="AH152" s="3"/>
      <c r="AI152" s="3"/>
      <c r="AJ152" s="3"/>
      <c r="AK152" s="3"/>
      <c r="AL152" s="3"/>
      <c r="AO152" s="3" t="s">
        <v>80</v>
      </c>
      <c r="AP152" s="6">
        <f>Q152</f>
      </c>
    </row>
    <row r="153" ht="18" customHeight="1" spans="1:42" x14ac:dyDescent="0.25">
      <c r="A153" s="3" t="s">
        <v>38</v>
      </c>
      <c r="B153" s="3" t="s">
        <v>39</v>
      </c>
      <c r="C153" s="3" t="s">
        <v>40</v>
      </c>
      <c r="D153" s="3" t="s">
        <v>41</v>
      </c>
      <c r="E153" s="3" t="s">
        <v>60</v>
      </c>
      <c r="F153" s="3" t="s">
        <v>858</v>
      </c>
      <c r="G153" s="4" t="s">
        <v>47</v>
      </c>
      <c r="H153" s="3" t="s">
        <v>859</v>
      </c>
      <c r="I153" s="3" t="s">
        <v>726</v>
      </c>
      <c r="J153" s="3" t="s">
        <v>860</v>
      </c>
      <c r="K153" s="5" t="s">
        <v>79</v>
      </c>
      <c r="L153" s="5" t="s">
        <v>67</v>
      </c>
      <c r="M153" s="5" t="s">
        <v>68</v>
      </c>
      <c r="N153" s="4" t="s">
        <v>47</v>
      </c>
      <c r="O153" s="6">
        <v>51300</v>
      </c>
      <c r="P153" s="6">
        <v>51500</v>
      </c>
      <c r="Q153" s="6">
        <v>200</v>
      </c>
      <c r="R153" s="7">
        <v>200</v>
      </c>
      <c r="S153" s="6">
        <f>IF(Q153-R153&lt;0,"0",Q153-R153)</f>
      </c>
      <c r="T153" s="6">
        <v>0</v>
      </c>
      <c r="U153" s="8">
        <v>46177.04166666667</v>
      </c>
      <c r="V153" s="8">
        <v>46177.19662037037</v>
      </c>
      <c r="W153" s="9">
        <f>V153-U153</f>
      </c>
      <c r="X153" s="10">
        <v>0.25</v>
      </c>
      <c r="Y153" s="9">
        <f>IF(W153-X153&lt;0,"00:00:00",W153-X153)</f>
      </c>
      <c r="Z153" s="11">
        <v>145</v>
      </c>
      <c r="AA153" s="11">
        <v>0</v>
      </c>
      <c r="AB153" s="12">
        <f>Y153*Z153*24</f>
      </c>
      <c r="AC153" s="12">
        <f>S153*AA153</f>
      </c>
      <c r="AD153" s="12">
        <f>T153*AA153</f>
      </c>
      <c r="AE153" s="11">
        <v>1380</v>
      </c>
      <c r="AF153" s="12">
        <v>0</v>
      </c>
      <c r="AG153" s="12">
        <f>SUM(AB153:AF153)</f>
      </c>
      <c r="AH153" s="3"/>
      <c r="AI153" s="3"/>
      <c r="AJ153" s="3"/>
      <c r="AK153" s="3"/>
      <c r="AL153" s="3"/>
      <c r="AO153" s="3" t="s">
        <v>80</v>
      </c>
      <c r="AP153" s="6">
        <f>Q153</f>
      </c>
    </row>
    <row r="154" ht="18" customHeight="1" spans="1:42" x14ac:dyDescent="0.25">
      <c r="A154" s="3" t="s">
        <v>38</v>
      </c>
      <c r="B154" s="3" t="s">
        <v>39</v>
      </c>
      <c r="C154" s="3" t="s">
        <v>40</v>
      </c>
      <c r="D154" s="3" t="s">
        <v>41</v>
      </c>
      <c r="E154" s="3" t="s">
        <v>653</v>
      </c>
      <c r="F154" s="3" t="s">
        <v>861</v>
      </c>
      <c r="G154" s="4" t="s">
        <v>47</v>
      </c>
      <c r="H154" s="3" t="s">
        <v>862</v>
      </c>
      <c r="I154" s="3" t="s">
        <v>863</v>
      </c>
      <c r="J154" s="3" t="s">
        <v>864</v>
      </c>
      <c r="K154" s="5" t="s">
        <v>97</v>
      </c>
      <c r="L154" s="5" t="s">
        <v>98</v>
      </c>
      <c r="M154" s="5" t="s">
        <v>68</v>
      </c>
      <c r="N154" s="4" t="s">
        <v>47</v>
      </c>
      <c r="O154" s="6">
        <v>34221</v>
      </c>
      <c r="P154" s="6">
        <v>34428</v>
      </c>
      <c r="Q154" s="6">
        <v>200</v>
      </c>
      <c r="R154" s="7">
        <v>200</v>
      </c>
      <c r="S154" s="6">
        <f>IF(Q154-R154&lt;0,"0",Q154-R154)</f>
      </c>
      <c r="T154" s="6">
        <v>0</v>
      </c>
      <c r="U154" s="8">
        <v>46177.430555555555</v>
      </c>
      <c r="V154" s="8">
        <v>46177.62620370371</v>
      </c>
      <c r="W154" s="9">
        <f>V154-U154</f>
      </c>
      <c r="X154" s="10">
        <v>0.25</v>
      </c>
      <c r="Y154" s="9">
        <f>IF(W154-X154&lt;0,"00:00:00",W154-X154)</f>
      </c>
      <c r="Z154" s="11">
        <v>145</v>
      </c>
      <c r="AA154" s="11">
        <v>0</v>
      </c>
      <c r="AB154" s="12">
        <f>Y154*Z154*24</f>
      </c>
      <c r="AC154" s="12">
        <f>S154*AA154</f>
      </c>
      <c r="AD154" s="12">
        <f>T154*AA154</f>
      </c>
      <c r="AE154" s="11">
        <v>1380</v>
      </c>
      <c r="AF154" s="12">
        <v>0</v>
      </c>
      <c r="AG154" s="12">
        <f>SUM(AB154:AF154)</f>
      </c>
      <c r="AH154" s="3"/>
      <c r="AI154" s="3"/>
      <c r="AJ154" s="3"/>
      <c r="AK154" s="3"/>
      <c r="AL154" s="3"/>
      <c r="AO154" s="3" t="s">
        <v>80</v>
      </c>
      <c r="AP154" s="6">
        <f>Q154</f>
      </c>
    </row>
    <row r="155" ht="18" customHeight="1" spans="1:42" x14ac:dyDescent="0.25">
      <c r="A155" s="3" t="s">
        <v>38</v>
      </c>
      <c r="B155" s="3" t="s">
        <v>39</v>
      </c>
      <c r="C155" s="3" t="s">
        <v>40</v>
      </c>
      <c r="D155" s="3" t="s">
        <v>41</v>
      </c>
      <c r="E155" s="3" t="s">
        <v>60</v>
      </c>
      <c r="F155" s="3" t="s">
        <v>865</v>
      </c>
      <c r="G155" s="4" t="s">
        <v>47</v>
      </c>
      <c r="H155" s="3" t="s">
        <v>866</v>
      </c>
      <c r="I155" s="3" t="s">
        <v>726</v>
      </c>
      <c r="J155" s="3" t="s">
        <v>867</v>
      </c>
      <c r="K155" s="5" t="s">
        <v>79</v>
      </c>
      <c r="L155" s="5" t="s">
        <v>67</v>
      </c>
      <c r="M155" s="5" t="s">
        <v>68</v>
      </c>
      <c r="N155" s="4" t="s">
        <v>47</v>
      </c>
      <c r="O155" s="6">
        <v>51710</v>
      </c>
      <c r="P155" s="6">
        <v>51912</v>
      </c>
      <c r="Q155" s="6">
        <v>200</v>
      </c>
      <c r="R155" s="7">
        <v>200</v>
      </c>
      <c r="S155" s="6">
        <f>IF(Q155-R155&lt;0,"0",Q155-R155)</f>
      </c>
      <c r="T155" s="6">
        <v>0</v>
      </c>
      <c r="U155" s="8">
        <v>46177.35763888889</v>
      </c>
      <c r="V155" s="8">
        <v>46177.58944444444</v>
      </c>
      <c r="W155" s="9">
        <f>V155-U155</f>
      </c>
      <c r="X155" s="10">
        <v>0.25</v>
      </c>
      <c r="Y155" s="9">
        <f>IF(W155-X155&lt;0,"00:00:00",W155-X155)</f>
      </c>
      <c r="Z155" s="11">
        <v>145</v>
      </c>
      <c r="AA155" s="11">
        <v>0</v>
      </c>
      <c r="AB155" s="12">
        <f>Y155*Z155*24</f>
      </c>
      <c r="AC155" s="12">
        <f>S155*AA155</f>
      </c>
      <c r="AD155" s="12">
        <f>T155*AA155</f>
      </c>
      <c r="AE155" s="11">
        <v>1380</v>
      </c>
      <c r="AF155" s="12">
        <v>0</v>
      </c>
      <c r="AG155" s="12">
        <f>SUM(AB155:AF155)</f>
      </c>
      <c r="AH155" s="3"/>
      <c r="AI155" s="3"/>
      <c r="AJ155" s="3"/>
      <c r="AK155" s="3"/>
      <c r="AL155" s="3"/>
      <c r="AO155" s="3" t="s">
        <v>80</v>
      </c>
      <c r="AP155" s="6">
        <f>Q155</f>
      </c>
    </row>
    <row r="156" ht="18" customHeight="1" spans="1:42" x14ac:dyDescent="0.25">
      <c r="A156" s="3" t="s">
        <v>38</v>
      </c>
      <c r="B156" s="3" t="s">
        <v>39</v>
      </c>
      <c r="C156" s="3" t="s">
        <v>40</v>
      </c>
      <c r="D156" s="3" t="s">
        <v>117</v>
      </c>
      <c r="E156" s="3" t="s">
        <v>60</v>
      </c>
      <c r="F156" s="3" t="s">
        <v>868</v>
      </c>
      <c r="G156" s="4" t="s">
        <v>47</v>
      </c>
      <c r="H156" s="3" t="s">
        <v>869</v>
      </c>
      <c r="I156" s="3" t="s">
        <v>870</v>
      </c>
      <c r="J156" s="3" t="s">
        <v>871</v>
      </c>
      <c r="K156" s="5" t="s">
        <v>79</v>
      </c>
      <c r="L156" s="5" t="s">
        <v>67</v>
      </c>
      <c r="M156" s="5" t="s">
        <v>68</v>
      </c>
      <c r="N156" s="4" t="s">
        <v>47</v>
      </c>
      <c r="O156" s="6">
        <v>0</v>
      </c>
      <c r="P156" s="6">
        <v>0</v>
      </c>
      <c r="Q156" s="6">
        <v>0</v>
      </c>
      <c r="R156" s="7">
        <v>200</v>
      </c>
      <c r="S156" s="6">
        <f>IF(Q156-R156&lt;0,"0",Q156-R156)</f>
      </c>
      <c r="T156" s="6">
        <v>0</v>
      </c>
      <c r="U156" s="8">
        <v>46177.58333333333</v>
      </c>
      <c r="V156" s="8">
        <v>46177.58333333333</v>
      </c>
      <c r="W156" s="9">
        <f>V156-U156</f>
      </c>
      <c r="X156" s="10">
        <v>0.25</v>
      </c>
      <c r="Y156" s="9">
        <f>IF(W156-X156&lt;0,"00:00:00",W156-X156)</f>
      </c>
      <c r="Z156" s="11">
        <v>145</v>
      </c>
      <c r="AA156" s="11">
        <v>0</v>
      </c>
      <c r="AB156" s="12">
        <f>Y156*Z156*24</f>
      </c>
      <c r="AC156" s="12">
        <f>S156*AA156</f>
      </c>
      <c r="AD156" s="12">
        <f>T156*AA156</f>
      </c>
      <c r="AE156" s="11">
        <v>690</v>
      </c>
      <c r="AF156" s="12">
        <v>0</v>
      </c>
      <c r="AG156" s="12">
        <f>SUM(AB156:AF156)</f>
      </c>
      <c r="AH156" s="3"/>
      <c r="AI156" s="3"/>
      <c r="AJ156" s="3"/>
      <c r="AK156" s="3"/>
      <c r="AL156" s="3"/>
      <c r="AO156" s="3" t="s">
        <v>80</v>
      </c>
      <c r="AP156" s="6">
        <f>Q156</f>
      </c>
    </row>
    <row r="157" ht="18" customHeight="1" spans="1:42" x14ac:dyDescent="0.25">
      <c r="A157" s="3" t="s">
        <v>38</v>
      </c>
      <c r="B157" s="3" t="s">
        <v>39</v>
      </c>
      <c r="C157" s="3" t="s">
        <v>40</v>
      </c>
      <c r="D157" s="3" t="s">
        <v>41</v>
      </c>
      <c r="E157" s="3" t="s">
        <v>653</v>
      </c>
      <c r="F157" s="3" t="s">
        <v>872</v>
      </c>
      <c r="G157" s="4" t="s">
        <v>47</v>
      </c>
      <c r="H157" s="3" t="s">
        <v>873</v>
      </c>
      <c r="I157" s="3" t="s">
        <v>863</v>
      </c>
      <c r="J157" s="3" t="s">
        <v>874</v>
      </c>
      <c r="K157" s="5" t="s">
        <v>97</v>
      </c>
      <c r="L157" s="5" t="s">
        <v>98</v>
      </c>
      <c r="M157" s="5" t="s">
        <v>68</v>
      </c>
      <c r="N157" s="4" t="s">
        <v>47</v>
      </c>
      <c r="O157" s="6">
        <v>34639</v>
      </c>
      <c r="P157" s="6">
        <v>34648</v>
      </c>
      <c r="Q157" s="6">
        <v>200</v>
      </c>
      <c r="R157" s="7">
        <v>200</v>
      </c>
      <c r="S157" s="6">
        <f>IF(Q157-R157&lt;0,"0",Q157-R157)</f>
      </c>
      <c r="T157" s="6">
        <v>0</v>
      </c>
      <c r="U157" s="8">
        <v>46178.29166666667</v>
      </c>
      <c r="V157" s="8">
        <v>46178.45704861111</v>
      </c>
      <c r="W157" s="9">
        <f>V157-U157</f>
      </c>
      <c r="X157" s="10">
        <v>0.25</v>
      </c>
      <c r="Y157" s="9">
        <f>IF(W157-X157&lt;0,"00:00:00",W157-X157)</f>
      </c>
      <c r="Z157" s="11">
        <v>145</v>
      </c>
      <c r="AA157" s="11">
        <v>0</v>
      </c>
      <c r="AB157" s="12">
        <f>Y157*Z157*24</f>
      </c>
      <c r="AC157" s="12">
        <f>S157*AA157</f>
      </c>
      <c r="AD157" s="12">
        <f>T157*AA157</f>
      </c>
      <c r="AE157" s="11">
        <v>1380</v>
      </c>
      <c r="AF157" s="12">
        <v>0</v>
      </c>
      <c r="AG157" s="12">
        <f>SUM(AB157:AF157)</f>
      </c>
      <c r="AH157" s="3"/>
      <c r="AI157" s="3"/>
      <c r="AJ157" s="3"/>
      <c r="AK157" s="3"/>
      <c r="AL157" s="3"/>
      <c r="AO157" s="3" t="s">
        <v>80</v>
      </c>
      <c r="AP157" s="6">
        <f>Q157</f>
      </c>
    </row>
    <row r="158" ht="18" customHeight="1" spans="1:42" x14ac:dyDescent="0.25">
      <c r="A158" s="3" t="s">
        <v>38</v>
      </c>
      <c r="B158" s="3" t="s">
        <v>39</v>
      </c>
      <c r="C158" s="3" t="s">
        <v>40</v>
      </c>
      <c r="D158" s="3" t="s">
        <v>41</v>
      </c>
      <c r="E158" s="3" t="s">
        <v>91</v>
      </c>
      <c r="F158" s="3" t="s">
        <v>875</v>
      </c>
      <c r="G158" s="4" t="s">
        <v>47</v>
      </c>
      <c r="H158" s="3" t="s">
        <v>876</v>
      </c>
      <c r="I158" s="3" t="s">
        <v>877</v>
      </c>
      <c r="J158" s="3" t="s">
        <v>878</v>
      </c>
      <c r="K158" s="5" t="s">
        <v>97</v>
      </c>
      <c r="L158" s="5" t="s">
        <v>98</v>
      </c>
      <c r="M158" s="5" t="s">
        <v>99</v>
      </c>
      <c r="N158" s="4" t="s">
        <v>47</v>
      </c>
      <c r="O158" s="6">
        <v>172700</v>
      </c>
      <c r="P158" s="6">
        <v>172701</v>
      </c>
      <c r="Q158" s="6">
        <v>300</v>
      </c>
      <c r="R158" s="7">
        <v>300</v>
      </c>
      <c r="S158" s="6">
        <f>IF(Q158-R158&lt;0,"0",Q158-R158)</f>
      </c>
      <c r="T158" s="6">
        <v>0</v>
      </c>
      <c r="U158" s="8">
        <v>46178.29166666667</v>
      </c>
      <c r="V158" s="8">
        <v>46178.365949074076</v>
      </c>
      <c r="W158" s="9">
        <f>V158-U158</f>
      </c>
      <c r="X158" s="10">
        <v>0.2916666666666667</v>
      </c>
      <c r="Y158" s="9">
        <f>IF(W158-X158&lt;0,"00:00:00",W158-X158)</f>
      </c>
      <c r="Z158" s="11">
        <v>145</v>
      </c>
      <c r="AA158" s="11">
        <v>0</v>
      </c>
      <c r="AB158" s="12">
        <f>Y158*Z158*24</f>
      </c>
      <c r="AC158" s="12">
        <f>S158*AA158</f>
      </c>
      <c r="AD158" s="12">
        <f>T158*AA158</f>
      </c>
      <c r="AE158" s="11">
        <v>2070</v>
      </c>
      <c r="AF158" s="12">
        <v>0</v>
      </c>
      <c r="AG158" s="12">
        <f>SUM(AB158:AF158)</f>
      </c>
      <c r="AH158" s="3"/>
      <c r="AI158" s="3"/>
      <c r="AJ158" s="3"/>
      <c r="AK158" s="3"/>
      <c r="AL158" s="3"/>
      <c r="AO158" s="3" t="s">
        <v>100</v>
      </c>
      <c r="AP158" s="6">
        <f>Q158</f>
      </c>
    </row>
    <row r="159" ht="18" customHeight="1" spans="1:42" x14ac:dyDescent="0.25">
      <c r="A159" s="3" t="s">
        <v>38</v>
      </c>
      <c r="B159" s="3" t="s">
        <v>39</v>
      </c>
      <c r="C159" s="3" t="s">
        <v>40</v>
      </c>
      <c r="D159" s="3" t="s">
        <v>41</v>
      </c>
      <c r="E159" s="3" t="s">
        <v>91</v>
      </c>
      <c r="F159" s="3" t="s">
        <v>879</v>
      </c>
      <c r="G159" s="4" t="s">
        <v>47</v>
      </c>
      <c r="H159" s="3" t="s">
        <v>880</v>
      </c>
      <c r="I159" s="3" t="s">
        <v>881</v>
      </c>
      <c r="J159" s="4" t="s">
        <v>47</v>
      </c>
      <c r="K159" s="5" t="s">
        <v>97</v>
      </c>
      <c r="L159" s="5" t="s">
        <v>98</v>
      </c>
      <c r="M159" s="5" t="s">
        <v>99</v>
      </c>
      <c r="N159" s="4" t="s">
        <v>47</v>
      </c>
      <c r="O159" s="6">
        <v>268959</v>
      </c>
      <c r="P159" s="6">
        <v>268959</v>
      </c>
      <c r="Q159" s="6">
        <v>300</v>
      </c>
      <c r="R159" s="7">
        <v>300</v>
      </c>
      <c r="S159" s="6">
        <f>IF(Q159-R159&lt;0,"0",Q159-R159)</f>
      </c>
      <c r="T159" s="6">
        <v>0</v>
      </c>
      <c r="U159" s="8">
        <v>46178.29166666667</v>
      </c>
      <c r="V159" s="8">
        <v>46178.331192129626</v>
      </c>
      <c r="W159" s="9">
        <f>V159-U159</f>
      </c>
      <c r="X159" s="10">
        <v>0.2916666666666667</v>
      </c>
      <c r="Y159" s="9">
        <f>IF(W159-X159&lt;0,"00:00:00",W159-X159)</f>
      </c>
      <c r="Z159" s="11">
        <v>145</v>
      </c>
      <c r="AA159" s="11">
        <v>0</v>
      </c>
      <c r="AB159" s="12">
        <f>Y159*Z159*24</f>
      </c>
      <c r="AC159" s="12">
        <f>S159*AA159</f>
      </c>
      <c r="AD159" s="12">
        <f>T159*AA159</f>
      </c>
      <c r="AE159" s="11">
        <v>2070</v>
      </c>
      <c r="AF159" s="12">
        <v>0</v>
      </c>
      <c r="AG159" s="12">
        <f>SUM(AB159:AF159)</f>
      </c>
      <c r="AH159" s="3"/>
      <c r="AI159" s="3"/>
      <c r="AJ159" s="3"/>
      <c r="AK159" s="3"/>
      <c r="AL159" s="3"/>
      <c r="AO159" s="3" t="s">
        <v>100</v>
      </c>
      <c r="AP159" s="6">
        <f>Q159</f>
      </c>
    </row>
    <row r="160" ht="18" customHeight="1" spans="1:42" x14ac:dyDescent="0.25">
      <c r="A160" s="3" t="s">
        <v>38</v>
      </c>
      <c r="B160" s="3" t="s">
        <v>39</v>
      </c>
      <c r="C160" s="3" t="s">
        <v>40</v>
      </c>
      <c r="D160" s="3" t="s">
        <v>41</v>
      </c>
      <c r="E160" s="3" t="s">
        <v>316</v>
      </c>
      <c r="F160" s="3" t="s">
        <v>882</v>
      </c>
      <c r="G160" s="4" t="s">
        <v>47</v>
      </c>
      <c r="H160" s="3" t="s">
        <v>883</v>
      </c>
      <c r="I160" s="3" t="s">
        <v>884</v>
      </c>
      <c r="J160" s="3" t="s">
        <v>885</v>
      </c>
      <c r="K160" s="5" t="s">
        <v>321</v>
      </c>
      <c r="L160" s="5" t="s">
        <v>67</v>
      </c>
      <c r="M160" s="5" t="s">
        <v>79</v>
      </c>
      <c r="N160" s="3" t="s">
        <v>67</v>
      </c>
      <c r="O160" s="6">
        <v>114662</v>
      </c>
      <c r="P160" s="6">
        <v>114769</v>
      </c>
      <c r="Q160" s="6">
        <f>P160-O160</f>
      </c>
      <c r="R160" s="7">
        <v>100</v>
      </c>
      <c r="S160" s="6">
        <f>IF(Q160-R160&lt;0,"0",Q160-R160)</f>
      </c>
      <c r="T160" s="6">
        <v>0</v>
      </c>
      <c r="U160" s="8">
        <v>46177.84027777778</v>
      </c>
      <c r="V160" s="8">
        <v>46177.91652777778</v>
      </c>
      <c r="W160" s="9">
        <f>V160-U160</f>
      </c>
      <c r="X160" s="10">
        <v>0.125</v>
      </c>
      <c r="Y160" s="9">
        <f>IF(W160-X160&lt;0,"00:00:00",W160-X160)</f>
      </c>
      <c r="Z160" s="11">
        <v>145</v>
      </c>
      <c r="AA160" s="11">
        <v>0</v>
      </c>
      <c r="AB160" s="12">
        <f>Y160*Z160*24</f>
      </c>
      <c r="AC160" s="12">
        <f>S160*AA160</f>
      </c>
      <c r="AD160" s="12">
        <f>T160*AA160</f>
      </c>
      <c r="AE160" s="11">
        <v>690</v>
      </c>
      <c r="AF160" s="12">
        <v>28.4</v>
      </c>
      <c r="AG160" s="12">
        <f>SUM(AB160:AF160)</f>
      </c>
      <c r="AH160" s="3"/>
      <c r="AI160" s="3"/>
      <c r="AJ160" s="3"/>
      <c r="AK160" s="3"/>
      <c r="AL160" s="3"/>
      <c r="AO160" s="3" t="s">
        <v>820</v>
      </c>
      <c r="AP160" s="6">
        <f>Q160</f>
      </c>
    </row>
    <row r="161" ht="18" customHeight="1" spans="1:42" x14ac:dyDescent="0.25">
      <c r="A161" s="3" t="s">
        <v>38</v>
      </c>
      <c r="B161" s="3" t="s">
        <v>39</v>
      </c>
      <c r="C161" s="3" t="s">
        <v>40</v>
      </c>
      <c r="D161" s="3" t="s">
        <v>41</v>
      </c>
      <c r="E161" s="3" t="s">
        <v>60</v>
      </c>
      <c r="F161" s="3" t="s">
        <v>886</v>
      </c>
      <c r="G161" s="4" t="s">
        <v>47</v>
      </c>
      <c r="H161" s="3" t="s">
        <v>887</v>
      </c>
      <c r="I161" s="3" t="s">
        <v>726</v>
      </c>
      <c r="J161" s="3" t="s">
        <v>871</v>
      </c>
      <c r="K161" s="5" t="s">
        <v>79</v>
      </c>
      <c r="L161" s="5" t="s">
        <v>67</v>
      </c>
      <c r="M161" s="5" t="s">
        <v>68</v>
      </c>
      <c r="N161" s="4" t="s">
        <v>47</v>
      </c>
      <c r="O161" s="6">
        <v>52124</v>
      </c>
      <c r="P161" s="6">
        <v>52324</v>
      </c>
      <c r="Q161" s="6">
        <v>200</v>
      </c>
      <c r="R161" s="7">
        <v>200</v>
      </c>
      <c r="S161" s="6">
        <f>IF(Q161-R161&lt;0,"0",Q161-R161)</f>
      </c>
      <c r="T161" s="6">
        <v>0</v>
      </c>
      <c r="U161" s="8">
        <v>46178.08333333333</v>
      </c>
      <c r="V161" s="8">
        <v>46178.2177662037</v>
      </c>
      <c r="W161" s="9">
        <f>V161-U161</f>
      </c>
      <c r="X161" s="10">
        <v>0.25</v>
      </c>
      <c r="Y161" s="9">
        <f>IF(W161-X161&lt;0,"00:00:00",W161-X161)</f>
      </c>
      <c r="Z161" s="11">
        <v>145</v>
      </c>
      <c r="AA161" s="11">
        <v>0</v>
      </c>
      <c r="AB161" s="12">
        <f>Y161*Z161*24</f>
      </c>
      <c r="AC161" s="12">
        <f>S161*AA161</f>
      </c>
      <c r="AD161" s="12">
        <f>T161*AA161</f>
      </c>
      <c r="AE161" s="11">
        <v>1380</v>
      </c>
      <c r="AF161" s="12">
        <v>35</v>
      </c>
      <c r="AG161" s="12">
        <f>SUM(AB161:AF161)</f>
      </c>
      <c r="AH161" s="3"/>
      <c r="AI161" s="3"/>
      <c r="AJ161" s="3"/>
      <c r="AK161" s="3"/>
      <c r="AL161" s="3"/>
      <c r="AO161" s="3" t="s">
        <v>80</v>
      </c>
      <c r="AP161" s="6">
        <f>Q161</f>
      </c>
    </row>
    <row r="162" ht="18" customHeight="1" spans="1:42" x14ac:dyDescent="0.25">
      <c r="A162" s="3" t="s">
        <v>38</v>
      </c>
      <c r="B162" s="3" t="s">
        <v>39</v>
      </c>
      <c r="C162" s="3" t="s">
        <v>40</v>
      </c>
      <c r="D162" s="3" t="s">
        <v>41</v>
      </c>
      <c r="E162" s="3" t="s">
        <v>60</v>
      </c>
      <c r="F162" s="3" t="s">
        <v>888</v>
      </c>
      <c r="G162" s="4" t="s">
        <v>47</v>
      </c>
      <c r="H162" s="3" t="s">
        <v>889</v>
      </c>
      <c r="I162" s="3" t="s">
        <v>890</v>
      </c>
      <c r="J162" s="3" t="s">
        <v>891</v>
      </c>
      <c r="K162" s="5" t="s">
        <v>66</v>
      </c>
      <c r="L162" s="5" t="s">
        <v>67</v>
      </c>
      <c r="M162" s="5" t="s">
        <v>68</v>
      </c>
      <c r="N162" s="4" t="s">
        <v>47</v>
      </c>
      <c r="O162" s="6">
        <v>28371</v>
      </c>
      <c r="P162" s="6">
        <v>28441</v>
      </c>
      <c r="Q162" s="6">
        <v>200</v>
      </c>
      <c r="R162" s="7">
        <v>200</v>
      </c>
      <c r="S162" s="6">
        <f>IF(Q162-R162&lt;0,"0",Q162-R162)</f>
      </c>
      <c r="T162" s="6">
        <v>0</v>
      </c>
      <c r="U162" s="8">
        <v>46178.4375</v>
      </c>
      <c r="V162" s="8">
        <v>46178.481192129635</v>
      </c>
      <c r="W162" s="9">
        <f>V162-U162</f>
      </c>
      <c r="X162" s="10">
        <v>0.25</v>
      </c>
      <c r="Y162" s="9">
        <f>IF(W162-X162&lt;0,"00:00:00",W162-X162)</f>
      </c>
      <c r="Z162" s="11">
        <v>145</v>
      </c>
      <c r="AA162" s="11">
        <v>0</v>
      </c>
      <c r="AB162" s="12">
        <f>Y162*Z162*24</f>
      </c>
      <c r="AC162" s="12">
        <f>S162*AA162</f>
      </c>
      <c r="AD162" s="12">
        <f>T162*AA162</f>
      </c>
      <c r="AE162" s="11">
        <v>1380</v>
      </c>
      <c r="AF162" s="12">
        <v>0</v>
      </c>
      <c r="AG162" s="12">
        <f>SUM(AB162:AF162)</f>
      </c>
      <c r="AH162" s="3"/>
      <c r="AI162" s="3"/>
      <c r="AJ162" s="3"/>
      <c r="AK162" s="3"/>
      <c r="AL162" s="3"/>
      <c r="AO162" s="3" t="s">
        <v>80</v>
      </c>
      <c r="AP162" s="6">
        <f>Q162</f>
      </c>
    </row>
    <row r="163" ht="18" customHeight="1" spans="1:42" x14ac:dyDescent="0.25">
      <c r="A163" s="3" t="s">
        <v>38</v>
      </c>
      <c r="B163" s="3" t="s">
        <v>39</v>
      </c>
      <c r="C163" s="3" t="s">
        <v>40</v>
      </c>
      <c r="D163" s="3" t="s">
        <v>41</v>
      </c>
      <c r="E163" s="3" t="s">
        <v>81</v>
      </c>
      <c r="F163" s="3" t="s">
        <v>892</v>
      </c>
      <c r="G163" s="4" t="s">
        <v>47</v>
      </c>
      <c r="H163" s="3" t="s">
        <v>893</v>
      </c>
      <c r="I163" s="3" t="s">
        <v>585</v>
      </c>
      <c r="J163" s="3" t="s">
        <v>894</v>
      </c>
      <c r="K163" s="5" t="s">
        <v>87</v>
      </c>
      <c r="L163" s="5" t="s">
        <v>88</v>
      </c>
      <c r="M163" s="5" t="s">
        <v>89</v>
      </c>
      <c r="N163" s="3" t="s">
        <v>88</v>
      </c>
      <c r="O163" s="6">
        <v>257165</v>
      </c>
      <c r="P163" s="6">
        <v>257223</v>
      </c>
      <c r="Q163" s="6">
        <f>P163-O163</f>
      </c>
      <c r="R163" s="7">
        <v>100</v>
      </c>
      <c r="S163" s="6">
        <f>IF(Q163-R163&lt;0,"0",Q163-R163)</f>
      </c>
      <c r="T163" s="6">
        <v>0</v>
      </c>
      <c r="U163" s="8">
        <v>46178.25</v>
      </c>
      <c r="V163" s="8">
        <v>46178.5600462963</v>
      </c>
      <c r="W163" s="9">
        <f>V163-U163</f>
      </c>
      <c r="X163" s="10">
        <v>0.125</v>
      </c>
      <c r="Y163" s="9">
        <f>IF(W163-X163&lt;0,"00:00:00",W163-X163)</f>
      </c>
      <c r="Z163" s="11">
        <v>145</v>
      </c>
      <c r="AA163" s="11">
        <v>0</v>
      </c>
      <c r="AB163" s="12">
        <f>Y163*Z163*24</f>
      </c>
      <c r="AC163" s="12">
        <f>S163*AA163</f>
      </c>
      <c r="AD163" s="12">
        <f>T163*AA163</f>
      </c>
      <c r="AE163" s="11">
        <v>690</v>
      </c>
      <c r="AF163" s="12">
        <v>0</v>
      </c>
      <c r="AG163" s="12">
        <f>SUM(AB163:AF163)</f>
      </c>
      <c r="AH163" s="3"/>
      <c r="AI163" s="3"/>
      <c r="AJ163" s="3"/>
      <c r="AK163" s="3"/>
      <c r="AL163" s="3"/>
      <c r="AO163" s="3" t="s">
        <v>895</v>
      </c>
      <c r="AP163" s="6">
        <f>Q163</f>
      </c>
    </row>
    <row r="164" ht="18" customHeight="1" spans="1:42" x14ac:dyDescent="0.25">
      <c r="A164" s="3" t="s">
        <v>38</v>
      </c>
      <c r="B164" s="3" t="s">
        <v>39</v>
      </c>
      <c r="C164" s="3" t="s">
        <v>40</v>
      </c>
      <c r="D164" s="3" t="s">
        <v>41</v>
      </c>
      <c r="E164" s="3" t="s">
        <v>81</v>
      </c>
      <c r="F164" s="3" t="s">
        <v>896</v>
      </c>
      <c r="G164" s="4" t="s">
        <v>47</v>
      </c>
      <c r="H164" s="3" t="s">
        <v>897</v>
      </c>
      <c r="I164" s="3" t="s">
        <v>85</v>
      </c>
      <c r="J164" s="3" t="s">
        <v>898</v>
      </c>
      <c r="K164" s="5" t="s">
        <v>899</v>
      </c>
      <c r="L164" s="5" t="s">
        <v>88</v>
      </c>
      <c r="M164" s="5" t="s">
        <v>900</v>
      </c>
      <c r="N164" s="3" t="s">
        <v>88</v>
      </c>
      <c r="O164" s="6">
        <v>166559</v>
      </c>
      <c r="P164" s="6">
        <v>166631</v>
      </c>
      <c r="Q164" s="6">
        <f>P164-O164</f>
      </c>
      <c r="R164" s="7">
        <v>100</v>
      </c>
      <c r="S164" s="6">
        <f>IF(Q164-R164&lt;0,"0",Q164-R164)</f>
      </c>
      <c r="T164" s="6">
        <v>0</v>
      </c>
      <c r="U164" s="8">
        <v>46181.41666666667</v>
      </c>
      <c r="V164" s="8">
        <v>46181.574791666666</v>
      </c>
      <c r="W164" s="9">
        <f>V164-U164</f>
      </c>
      <c r="X164" s="10">
        <v>0.125</v>
      </c>
      <c r="Y164" s="9">
        <f>IF(W164-X164&lt;0,"00:00:00",W164-X164)</f>
      </c>
      <c r="Z164" s="11">
        <v>145</v>
      </c>
      <c r="AA164" s="11">
        <v>0</v>
      </c>
      <c r="AB164" s="12">
        <f>Y164*Z164*24</f>
      </c>
      <c r="AC164" s="12">
        <f>S164*AA164</f>
      </c>
      <c r="AD164" s="12">
        <f>T164*AA164</f>
      </c>
      <c r="AE164" s="11">
        <v>690</v>
      </c>
      <c r="AF164" s="12">
        <v>5.4</v>
      </c>
      <c r="AG164" s="12">
        <f>SUM(AB164:AF164)</f>
      </c>
      <c r="AH164" s="3"/>
      <c r="AI164" s="3"/>
      <c r="AJ164" s="3"/>
      <c r="AK164" s="3"/>
      <c r="AL164" s="3"/>
      <c r="AO164" s="3" t="s">
        <v>901</v>
      </c>
      <c r="AP164" s="6">
        <f>Q164</f>
      </c>
    </row>
    <row r="165" ht="18" customHeight="1" spans="1:42" x14ac:dyDescent="0.25">
      <c r="A165" s="3" t="s">
        <v>38</v>
      </c>
      <c r="B165" s="3" t="s">
        <v>39</v>
      </c>
      <c r="C165" s="3" t="s">
        <v>40</v>
      </c>
      <c r="D165" s="3" t="s">
        <v>41</v>
      </c>
      <c r="E165" s="3" t="s">
        <v>81</v>
      </c>
      <c r="F165" s="3" t="s">
        <v>902</v>
      </c>
      <c r="G165" s="4" t="s">
        <v>47</v>
      </c>
      <c r="H165" s="3" t="s">
        <v>903</v>
      </c>
      <c r="I165" s="3" t="s">
        <v>836</v>
      </c>
      <c r="J165" s="3" t="s">
        <v>898</v>
      </c>
      <c r="K165" s="5" t="s">
        <v>899</v>
      </c>
      <c r="L165" s="5" t="s">
        <v>88</v>
      </c>
      <c r="M165" s="5" t="s">
        <v>900</v>
      </c>
      <c r="N165" s="3" t="s">
        <v>88</v>
      </c>
      <c r="O165" s="6">
        <v>93062</v>
      </c>
      <c r="P165" s="6">
        <v>93131</v>
      </c>
      <c r="Q165" s="6">
        <f>P165-O165</f>
      </c>
      <c r="R165" s="7">
        <v>100</v>
      </c>
      <c r="S165" s="6">
        <f>IF(Q165-R165&lt;0,"0",Q165-R165)</f>
      </c>
      <c r="T165" s="6">
        <v>0</v>
      </c>
      <c r="U165" s="8">
        <v>46181.41666666667</v>
      </c>
      <c r="V165" s="8">
        <v>46181.57390046296</v>
      </c>
      <c r="W165" s="9">
        <f>V165-U165</f>
      </c>
      <c r="X165" s="10">
        <v>0.125</v>
      </c>
      <c r="Y165" s="9">
        <f>IF(W165-X165&lt;0,"00:00:00",W165-X165)</f>
      </c>
      <c r="Z165" s="11">
        <v>145</v>
      </c>
      <c r="AA165" s="11">
        <v>0</v>
      </c>
      <c r="AB165" s="12">
        <f>Y165*Z165*24</f>
      </c>
      <c r="AC165" s="12">
        <f>S165*AA165</f>
      </c>
      <c r="AD165" s="12">
        <f>T165*AA165</f>
      </c>
      <c r="AE165" s="11">
        <v>690</v>
      </c>
      <c r="AF165" s="12">
        <v>5.4</v>
      </c>
      <c r="AG165" s="12">
        <f>SUM(AB165:AF165)</f>
      </c>
      <c r="AH165" s="3"/>
      <c r="AI165" s="3"/>
      <c r="AJ165" s="3"/>
      <c r="AK165" s="3"/>
      <c r="AL165" s="3"/>
      <c r="AO165" s="3" t="s">
        <v>901</v>
      </c>
      <c r="AP165" s="6">
        <f>Q165</f>
      </c>
    </row>
    <row r="166" ht="18" customHeight="1" spans="1:42" x14ac:dyDescent="0.25">
      <c r="A166" s="3" t="s">
        <v>38</v>
      </c>
      <c r="B166" s="3" t="s">
        <v>39</v>
      </c>
      <c r="C166" s="3" t="s">
        <v>40</v>
      </c>
      <c r="D166" s="3" t="s">
        <v>41</v>
      </c>
      <c r="E166" s="3" t="s">
        <v>123</v>
      </c>
      <c r="F166" s="3" t="s">
        <v>904</v>
      </c>
      <c r="G166" s="4" t="s">
        <v>47</v>
      </c>
      <c r="H166" s="3" t="s">
        <v>905</v>
      </c>
      <c r="I166" s="3" t="s">
        <v>906</v>
      </c>
      <c r="J166" s="3" t="s">
        <v>114</v>
      </c>
      <c r="K166" s="5" t="s">
        <v>907</v>
      </c>
      <c r="L166" s="5" t="s">
        <v>67</v>
      </c>
      <c r="M166" s="5" t="s">
        <v>179</v>
      </c>
      <c r="N166" s="4" t="s">
        <v>47</v>
      </c>
      <c r="O166" s="6">
        <v>36049</v>
      </c>
      <c r="P166" s="6">
        <v>36088</v>
      </c>
      <c r="Q166" s="6">
        <f>P166-O166</f>
      </c>
      <c r="R166" s="7">
        <v>100</v>
      </c>
      <c r="S166" s="6">
        <f>IF(Q166-R166&lt;0,"0",Q166-R166)</f>
      </c>
      <c r="T166" s="6">
        <v>0</v>
      </c>
      <c r="U166" s="8">
        <v>46181.60416666667</v>
      </c>
      <c r="V166" s="8">
        <v>46181.67391203703</v>
      </c>
      <c r="W166" s="9">
        <f>V166-U166</f>
      </c>
      <c r="X166" s="10">
        <v>0.25</v>
      </c>
      <c r="Y166" s="9">
        <f>IF(W166-X166&lt;0,"00:00:00",W166-X166)</f>
      </c>
      <c r="Z166" s="11">
        <v>145</v>
      </c>
      <c r="AA166" s="11">
        <v>0</v>
      </c>
      <c r="AB166" s="12">
        <f>Y166*Z166*24</f>
      </c>
      <c r="AC166" s="12">
        <f>S166*AA166</f>
      </c>
      <c r="AD166" s="12">
        <f>T166*AA166</f>
      </c>
      <c r="AE166" s="11">
        <v>690</v>
      </c>
      <c r="AF166" s="12">
        <v>13.6</v>
      </c>
      <c r="AG166" s="12">
        <f>SUM(AB166:AF166)</f>
      </c>
      <c r="AH166" s="3"/>
      <c r="AI166" s="3"/>
      <c r="AJ166" s="3"/>
      <c r="AK166" s="3"/>
      <c r="AL166" s="3"/>
      <c r="AO166" s="3" t="s">
        <v>69</v>
      </c>
      <c r="AP166" s="6">
        <f>Q166</f>
      </c>
    </row>
    <row r="167" ht="18" customHeight="1" spans="1:42" x14ac:dyDescent="0.25">
      <c r="A167" s="3" t="s">
        <v>38</v>
      </c>
      <c r="B167" s="3" t="s">
        <v>39</v>
      </c>
      <c r="C167" s="3" t="s">
        <v>40</v>
      </c>
      <c r="D167" s="3" t="s">
        <v>41</v>
      </c>
      <c r="E167" s="3" t="s">
        <v>150</v>
      </c>
      <c r="F167" s="3" t="s">
        <v>908</v>
      </c>
      <c r="G167" s="4" t="s">
        <v>47</v>
      </c>
      <c r="H167" s="3" t="s">
        <v>909</v>
      </c>
      <c r="I167" s="3" t="s">
        <v>137</v>
      </c>
      <c r="J167" s="3" t="s">
        <v>910</v>
      </c>
      <c r="K167" s="5" t="s">
        <v>468</v>
      </c>
      <c r="L167" s="5" t="s">
        <v>122</v>
      </c>
      <c r="M167" s="5" t="s">
        <v>68</v>
      </c>
      <c r="N167" s="4" t="s">
        <v>47</v>
      </c>
      <c r="O167" s="6">
        <v>108329</v>
      </c>
      <c r="P167" s="6">
        <v>108447</v>
      </c>
      <c r="Q167" s="6">
        <v>200</v>
      </c>
      <c r="R167" s="7">
        <v>200</v>
      </c>
      <c r="S167" s="6">
        <f>IF(Q167-R167&lt;0,"0",Q167-R167)</f>
      </c>
      <c r="T167" s="6">
        <v>0</v>
      </c>
      <c r="U167" s="8">
        <v>46178.99791666667</v>
      </c>
      <c r="V167" s="8">
        <v>46179.08880787037</v>
      </c>
      <c r="W167" s="9">
        <f>V167-U167</f>
      </c>
      <c r="X167" s="10">
        <v>0.25</v>
      </c>
      <c r="Y167" s="9">
        <f>IF(W167-X167&lt;0,"00:00:00",W167-X167)</f>
      </c>
      <c r="Z167" s="11">
        <v>145</v>
      </c>
      <c r="AA167" s="11">
        <v>0</v>
      </c>
      <c r="AB167" s="12">
        <f>Y167*Z167*24</f>
      </c>
      <c r="AC167" s="12">
        <f>S167*AA167</f>
      </c>
      <c r="AD167" s="12">
        <f>T167*AA167</f>
      </c>
      <c r="AE167" s="11">
        <v>1380</v>
      </c>
      <c r="AF167" s="12">
        <v>0</v>
      </c>
      <c r="AG167" s="12">
        <f>SUM(AB167:AF167)</f>
      </c>
      <c r="AH167" s="3"/>
      <c r="AI167" s="3"/>
      <c r="AJ167" s="3"/>
      <c r="AK167" s="3"/>
      <c r="AL167" s="3"/>
      <c r="AO167" s="3" t="s">
        <v>80</v>
      </c>
      <c r="AP167" s="6">
        <f>Q167</f>
      </c>
    </row>
    <row r="168" ht="18" customHeight="1" spans="1:42" x14ac:dyDescent="0.25">
      <c r="A168" s="3" t="s">
        <v>38</v>
      </c>
      <c r="B168" s="3" t="s">
        <v>39</v>
      </c>
      <c r="C168" s="3" t="s">
        <v>40</v>
      </c>
      <c r="D168" s="3" t="s">
        <v>41</v>
      </c>
      <c r="E168" s="3" t="s">
        <v>195</v>
      </c>
      <c r="F168" s="3" t="s">
        <v>911</v>
      </c>
      <c r="G168" s="4" t="s">
        <v>47</v>
      </c>
      <c r="H168" s="3" t="s">
        <v>912</v>
      </c>
      <c r="I168" s="3" t="s">
        <v>428</v>
      </c>
      <c r="J168" s="3" t="s">
        <v>913</v>
      </c>
      <c r="K168" s="5" t="s">
        <v>169</v>
      </c>
      <c r="L168" s="5" t="s">
        <v>67</v>
      </c>
      <c r="M168" s="5" t="s">
        <v>328</v>
      </c>
      <c r="N168" s="4" t="s">
        <v>47</v>
      </c>
      <c r="O168" s="6">
        <v>18255</v>
      </c>
      <c r="P168" s="6">
        <v>19058</v>
      </c>
      <c r="Q168" s="6">
        <f>P168-O168</f>
      </c>
      <c r="R168" s="7">
        <v>758</v>
      </c>
      <c r="S168" s="6">
        <f>IF(Q168-R168&lt;0,"0",Q168-R168)</f>
      </c>
      <c r="T168" s="6">
        <v>0</v>
      </c>
      <c r="U168" s="8">
        <v>46179.25</v>
      </c>
      <c r="V168" s="8">
        <v>46181.173680555556</v>
      </c>
      <c r="W168" s="9">
        <f>V168-U168</f>
      </c>
      <c r="X168" s="10">
        <v>1.4166666666666667</v>
      </c>
      <c r="Y168" s="9">
        <f>IF(W168-X168&lt;0,"00:00:00",W168-X168)</f>
      </c>
      <c r="Z168" s="11">
        <v>145</v>
      </c>
      <c r="AA168" s="11">
        <v>0</v>
      </c>
      <c r="AB168" s="12">
        <f>Y168*Z168*24</f>
      </c>
      <c r="AC168" s="12">
        <f>S168*AA168</f>
      </c>
      <c r="AD168" s="12">
        <f>T168*AA168</f>
      </c>
      <c r="AE168" s="11">
        <v>7412.45</v>
      </c>
      <c r="AF168" s="12">
        <v>79</v>
      </c>
      <c r="AG168" s="12">
        <f>SUM(AB168:AF168)</f>
      </c>
      <c r="AH168" s="3"/>
      <c r="AI168" s="3"/>
      <c r="AJ168" s="3"/>
      <c r="AK168" s="3"/>
      <c r="AL168" s="3"/>
      <c r="AO168" s="3" t="s">
        <v>202</v>
      </c>
      <c r="AP168" s="6">
        <f>Q168</f>
      </c>
    </row>
    <row r="169" ht="18" customHeight="1" spans="1:42" x14ac:dyDescent="0.25">
      <c r="A169" s="3" t="s">
        <v>38</v>
      </c>
      <c r="B169" s="3" t="s">
        <v>39</v>
      </c>
      <c r="C169" s="3" t="s">
        <v>40</v>
      </c>
      <c r="D169" s="3" t="s">
        <v>41</v>
      </c>
      <c r="E169" s="3" t="s">
        <v>123</v>
      </c>
      <c r="F169" s="3" t="s">
        <v>914</v>
      </c>
      <c r="G169" s="4" t="s">
        <v>47</v>
      </c>
      <c r="H169" s="3" t="s">
        <v>915</v>
      </c>
      <c r="I169" s="3" t="s">
        <v>701</v>
      </c>
      <c r="J169" s="3" t="s">
        <v>750</v>
      </c>
      <c r="K169" s="5" t="s">
        <v>665</v>
      </c>
      <c r="L169" s="5" t="s">
        <v>67</v>
      </c>
      <c r="M169" s="5" t="s">
        <v>916</v>
      </c>
      <c r="N169" s="3" t="s">
        <v>67</v>
      </c>
      <c r="O169" s="6">
        <v>39442</v>
      </c>
      <c r="P169" s="6">
        <v>39482</v>
      </c>
      <c r="Q169" s="6">
        <f>P169-O169</f>
      </c>
      <c r="R169" s="7">
        <v>100</v>
      </c>
      <c r="S169" s="6">
        <f>IF(Q169-R169&lt;0,"0",Q169-R169)</f>
      </c>
      <c r="T169" s="6">
        <v>0</v>
      </c>
      <c r="U169" s="8">
        <v>46181.02083333333</v>
      </c>
      <c r="V169" s="8">
        <v>46181.07798611111</v>
      </c>
      <c r="W169" s="9">
        <f>V169-U169</f>
      </c>
      <c r="X169" s="10">
        <v>0.25</v>
      </c>
      <c r="Y169" s="9">
        <f>IF(W169-X169&lt;0,"00:00:00",W169-X169)</f>
      </c>
      <c r="Z169" s="11">
        <v>145</v>
      </c>
      <c r="AA169" s="11">
        <v>0</v>
      </c>
      <c r="AB169" s="12">
        <f>Y169*Z169*24</f>
      </c>
      <c r="AC169" s="12">
        <f>S169*AA169</f>
      </c>
      <c r="AD169" s="12">
        <f>T169*AA169</f>
      </c>
      <c r="AE169" s="11">
        <v>690</v>
      </c>
      <c r="AF169" s="12">
        <v>0</v>
      </c>
      <c r="AG169" s="12">
        <f>SUM(AB169:AF169)</f>
      </c>
      <c r="AH169" s="3"/>
      <c r="AI169" s="3"/>
      <c r="AJ169" s="3"/>
      <c r="AK169" s="3"/>
      <c r="AL169" s="3"/>
      <c r="AO169" s="3" t="s">
        <v>69</v>
      </c>
      <c r="AP169" s="6">
        <f>Q169</f>
      </c>
    </row>
    <row r="170" ht="18" customHeight="1" spans="1:42" x14ac:dyDescent="0.25">
      <c r="A170" s="3" t="s">
        <v>38</v>
      </c>
      <c r="B170" s="3" t="s">
        <v>39</v>
      </c>
      <c r="C170" s="3" t="s">
        <v>40</v>
      </c>
      <c r="D170" s="3" t="s">
        <v>41</v>
      </c>
      <c r="E170" s="3" t="s">
        <v>275</v>
      </c>
      <c r="F170" s="3" t="s">
        <v>917</v>
      </c>
      <c r="G170" s="4" t="s">
        <v>47</v>
      </c>
      <c r="H170" s="3" t="s">
        <v>918</v>
      </c>
      <c r="I170" s="3" t="s">
        <v>919</v>
      </c>
      <c r="J170" s="3" t="s">
        <v>920</v>
      </c>
      <c r="K170" s="5" t="s">
        <v>921</v>
      </c>
      <c r="L170" s="5" t="s">
        <v>98</v>
      </c>
      <c r="M170" s="5" t="s">
        <v>630</v>
      </c>
      <c r="N170" s="3" t="s">
        <v>98</v>
      </c>
      <c r="O170" s="6">
        <v>185885</v>
      </c>
      <c r="P170" s="6">
        <v>185892</v>
      </c>
      <c r="Q170" s="6">
        <f>P170-O170</f>
      </c>
      <c r="R170" s="7">
        <v>100</v>
      </c>
      <c r="S170" s="6">
        <f>IF(Q170-R170&lt;0,"0",Q170-R170)</f>
      </c>
      <c r="T170" s="6">
        <v>0</v>
      </c>
      <c r="U170" s="8">
        <v>46181.33333333333</v>
      </c>
      <c r="V170" s="8">
        <v>46181.45626157407</v>
      </c>
      <c r="W170" s="9">
        <f>V170-U170</f>
      </c>
      <c r="X170" s="10">
        <v>0.25</v>
      </c>
      <c r="Y170" s="9">
        <f>IF(W170-X170&lt;0,"00:00:00",W170-X170)</f>
      </c>
      <c r="Z170" s="11">
        <v>145</v>
      </c>
      <c r="AA170" s="11">
        <v>0</v>
      </c>
      <c r="AB170" s="12">
        <f>Y170*Z170*24</f>
      </c>
      <c r="AC170" s="12">
        <f>S170*AA170</f>
      </c>
      <c r="AD170" s="12">
        <f>T170*AA170</f>
      </c>
      <c r="AE170" s="11">
        <v>690</v>
      </c>
      <c r="AF170" s="12">
        <v>0</v>
      </c>
      <c r="AG170" s="12">
        <f>SUM(AB170:AF170)</f>
      </c>
      <c r="AH170" s="3"/>
      <c r="AI170" s="3"/>
      <c r="AJ170" s="3"/>
      <c r="AK170" s="3"/>
      <c r="AL170" s="3"/>
      <c r="AO170" s="3" t="s">
        <v>69</v>
      </c>
      <c r="AP170" s="6">
        <f>Q170</f>
      </c>
    </row>
    <row r="171" ht="18" customHeight="1" spans="1:42" x14ac:dyDescent="0.25">
      <c r="A171" s="3" t="s">
        <v>38</v>
      </c>
      <c r="B171" s="3" t="s">
        <v>39</v>
      </c>
      <c r="C171" s="3" t="s">
        <v>40</v>
      </c>
      <c r="D171" s="3" t="s">
        <v>41</v>
      </c>
      <c r="E171" s="3" t="s">
        <v>275</v>
      </c>
      <c r="F171" s="3" t="s">
        <v>922</v>
      </c>
      <c r="G171" s="4" t="s">
        <v>47</v>
      </c>
      <c r="H171" s="3" t="s">
        <v>923</v>
      </c>
      <c r="I171" s="3" t="s">
        <v>919</v>
      </c>
      <c r="J171" s="3" t="s">
        <v>658</v>
      </c>
      <c r="K171" s="5" t="s">
        <v>629</v>
      </c>
      <c r="L171" s="5" t="s">
        <v>98</v>
      </c>
      <c r="M171" s="5" t="s">
        <v>630</v>
      </c>
      <c r="N171" s="3" t="s">
        <v>98</v>
      </c>
      <c r="O171" s="6">
        <v>186333</v>
      </c>
      <c r="P171" s="6">
        <v>186340</v>
      </c>
      <c r="Q171" s="6">
        <f>P171-O171</f>
      </c>
      <c r="R171" s="7">
        <v>100</v>
      </c>
      <c r="S171" s="6">
        <f>IF(Q171-R171&lt;0,"0",Q171-R171)</f>
      </c>
      <c r="T171" s="6">
        <v>0</v>
      </c>
      <c r="U171" s="8">
        <v>46182.33333333333</v>
      </c>
      <c r="V171" s="8">
        <v>46182.38039351851</v>
      </c>
      <c r="W171" s="9">
        <f>V171-U171</f>
      </c>
      <c r="X171" s="10">
        <v>0.25</v>
      </c>
      <c r="Y171" s="9">
        <f>IF(W171-X171&lt;0,"00:00:00",W171-X171)</f>
      </c>
      <c r="Z171" s="11">
        <v>145</v>
      </c>
      <c r="AA171" s="11">
        <v>0</v>
      </c>
      <c r="AB171" s="12">
        <f>Y171*Z171*24</f>
      </c>
      <c r="AC171" s="12">
        <f>S171*AA171</f>
      </c>
      <c r="AD171" s="12">
        <f>T171*AA171</f>
      </c>
      <c r="AE171" s="11">
        <v>690</v>
      </c>
      <c r="AF171" s="12">
        <v>0</v>
      </c>
      <c r="AG171" s="12">
        <f>SUM(AB171:AF171)</f>
      </c>
      <c r="AH171" s="3"/>
      <c r="AI171" s="3"/>
      <c r="AJ171" s="3"/>
      <c r="AK171" s="3"/>
      <c r="AL171" s="3"/>
      <c r="AO171" s="3" t="s">
        <v>69</v>
      </c>
      <c r="AP171" s="6">
        <f>Q171</f>
      </c>
    </row>
    <row r="172" ht="18" customHeight="1" spans="1:42" x14ac:dyDescent="0.25">
      <c r="A172" s="3" t="s">
        <v>38</v>
      </c>
      <c r="B172" s="3" t="s">
        <v>39</v>
      </c>
      <c r="C172" s="3" t="s">
        <v>40</v>
      </c>
      <c r="D172" s="3" t="s">
        <v>41</v>
      </c>
      <c r="E172" s="3" t="s">
        <v>123</v>
      </c>
      <c r="F172" s="3" t="s">
        <v>924</v>
      </c>
      <c r="G172" s="4" t="s">
        <v>47</v>
      </c>
      <c r="H172" s="3" t="s">
        <v>925</v>
      </c>
      <c r="I172" s="3" t="s">
        <v>677</v>
      </c>
      <c r="J172" s="3" t="s">
        <v>926</v>
      </c>
      <c r="K172" s="5" t="s">
        <v>274</v>
      </c>
      <c r="L172" s="5" t="s">
        <v>67</v>
      </c>
      <c r="M172" s="5" t="s">
        <v>554</v>
      </c>
      <c r="N172" s="3" t="s">
        <v>67</v>
      </c>
      <c r="O172" s="6">
        <v>32681</v>
      </c>
      <c r="P172" s="6">
        <v>32714</v>
      </c>
      <c r="Q172" s="6">
        <f>P172-O172</f>
      </c>
      <c r="R172" s="7">
        <v>100</v>
      </c>
      <c r="S172" s="6">
        <f>IF(Q172-R172&lt;0,"0",Q172-R172)</f>
      </c>
      <c r="T172" s="6">
        <v>0</v>
      </c>
      <c r="U172" s="8">
        <v>46181.51041666667</v>
      </c>
      <c r="V172" s="8">
        <v>46181.5849537037</v>
      </c>
      <c r="W172" s="9">
        <f>V172-U172</f>
      </c>
      <c r="X172" s="10">
        <v>0.16666666666666666</v>
      </c>
      <c r="Y172" s="9">
        <f>IF(W172-X172&lt;0,"00:00:00",W172-X172)</f>
      </c>
      <c r="Z172" s="11">
        <v>145</v>
      </c>
      <c r="AA172" s="11">
        <v>0</v>
      </c>
      <c r="AB172" s="12">
        <f>Y172*Z172*24</f>
      </c>
      <c r="AC172" s="12">
        <f>S172*AA172</f>
      </c>
      <c r="AD172" s="12">
        <f>T172*AA172</f>
      </c>
      <c r="AE172" s="11">
        <v>690</v>
      </c>
      <c r="AF172" s="12">
        <v>0</v>
      </c>
      <c r="AG172" s="12">
        <f>SUM(AB172:AF172)</f>
      </c>
      <c r="AH172" s="3"/>
      <c r="AI172" s="3"/>
      <c r="AJ172" s="3"/>
      <c r="AK172" s="3"/>
      <c r="AL172" s="3"/>
      <c r="AO172" s="3" t="s">
        <v>927</v>
      </c>
      <c r="AP172" s="6">
        <f>Q172</f>
      </c>
    </row>
    <row r="173" ht="18" customHeight="1" spans="1:42" x14ac:dyDescent="0.25">
      <c r="A173" s="3" t="s">
        <v>38</v>
      </c>
      <c r="B173" s="3" t="s">
        <v>39</v>
      </c>
      <c r="C173" s="3" t="s">
        <v>40</v>
      </c>
      <c r="D173" s="3" t="s">
        <v>41</v>
      </c>
      <c r="E173" s="3" t="s">
        <v>928</v>
      </c>
      <c r="F173" s="3" t="s">
        <v>929</v>
      </c>
      <c r="G173" s="4" t="s">
        <v>47</v>
      </c>
      <c r="H173" s="3" t="s">
        <v>930</v>
      </c>
      <c r="I173" s="3" t="s">
        <v>442</v>
      </c>
      <c r="J173" s="3" t="s">
        <v>931</v>
      </c>
      <c r="K173" s="5" t="s">
        <v>932</v>
      </c>
      <c r="L173" s="5" t="s">
        <v>67</v>
      </c>
      <c r="M173" s="5" t="s">
        <v>169</v>
      </c>
      <c r="N173" s="3" t="s">
        <v>67</v>
      </c>
      <c r="O173" s="6">
        <v>10217</v>
      </c>
      <c r="P173" s="6">
        <v>10281</v>
      </c>
      <c r="Q173" s="6">
        <f>P173-O173</f>
      </c>
      <c r="R173" s="7">
        <v>100</v>
      </c>
      <c r="S173" s="6">
        <f>IF(Q173-R173&lt;0,"0",Q173-R173)</f>
      </c>
      <c r="T173" s="6">
        <v>0</v>
      </c>
      <c r="U173" s="8">
        <v>46181.51041666667</v>
      </c>
      <c r="V173" s="8">
        <v>46181.625</v>
      </c>
      <c r="W173" s="9">
        <f>V173-U173</f>
      </c>
      <c r="X173" s="10">
        <v>0.20833333333333334</v>
      </c>
      <c r="Y173" s="9">
        <f>IF(W173-X173&lt;0,"00:00:00",W173-X173)</f>
      </c>
      <c r="Z173" s="11">
        <v>145</v>
      </c>
      <c r="AA173" s="11">
        <v>0</v>
      </c>
      <c r="AB173" s="12">
        <f>Y173*Z173*24</f>
      </c>
      <c r="AC173" s="12">
        <f>S173*AA173</f>
      </c>
      <c r="AD173" s="12">
        <f>T173*AA173</f>
      </c>
      <c r="AE173" s="11">
        <v>690</v>
      </c>
      <c r="AF173" s="12">
        <v>5.9</v>
      </c>
      <c r="AG173" s="12">
        <f>SUM(AB173:AF173)</f>
      </c>
      <c r="AH173" s="3"/>
      <c r="AI173" s="3"/>
      <c r="AJ173" s="3"/>
      <c r="AK173" s="3"/>
      <c r="AL173" s="3"/>
      <c r="AO173" s="3" t="s">
        <v>933</v>
      </c>
      <c r="AP173" s="6">
        <f>Q173</f>
      </c>
    </row>
    <row r="174" ht="18" customHeight="1" spans="1:42" x14ac:dyDescent="0.25">
      <c r="A174" s="3" t="s">
        <v>38</v>
      </c>
      <c r="B174" s="3" t="s">
        <v>39</v>
      </c>
      <c r="C174" s="3" t="s">
        <v>40</v>
      </c>
      <c r="D174" s="3" t="s">
        <v>41</v>
      </c>
      <c r="E174" s="3" t="s">
        <v>150</v>
      </c>
      <c r="F174" s="3" t="s">
        <v>934</v>
      </c>
      <c r="G174" s="4" t="s">
        <v>47</v>
      </c>
      <c r="H174" s="3" t="s">
        <v>935</v>
      </c>
      <c r="I174" s="3" t="s">
        <v>265</v>
      </c>
      <c r="J174" s="3" t="s">
        <v>936</v>
      </c>
      <c r="K174" s="5" t="s">
        <v>937</v>
      </c>
      <c r="L174" s="5" t="s">
        <v>122</v>
      </c>
      <c r="M174" s="5" t="s">
        <v>68</v>
      </c>
      <c r="N174" s="4" t="s">
        <v>47</v>
      </c>
      <c r="O174" s="6">
        <v>26995</v>
      </c>
      <c r="P174" s="6">
        <v>27099</v>
      </c>
      <c r="Q174" s="6">
        <v>200</v>
      </c>
      <c r="R174" s="7">
        <v>137</v>
      </c>
      <c r="S174" s="6">
        <f>IF(Q174-R174&lt;0,"0",Q174-R174)</f>
      </c>
      <c r="T174" s="6">
        <v>0</v>
      </c>
      <c r="U174" s="8">
        <v>46181.52847222222</v>
      </c>
      <c r="V174" s="8">
        <v>46181.760717592595</v>
      </c>
      <c r="W174" s="9">
        <f>V174-U174</f>
      </c>
      <c r="X174" s="10">
        <v>0.20833333333333334</v>
      </c>
      <c r="Y174" s="9">
        <f>IF(W174-X174&lt;0,"00:00:00",W174-X174)</f>
      </c>
      <c r="Z174" s="11">
        <v>145</v>
      </c>
      <c r="AA174" s="11">
        <v>0</v>
      </c>
      <c r="AB174" s="12">
        <f>Y174*Z174*24</f>
      </c>
      <c r="AC174" s="12">
        <f>S174*AA174</f>
      </c>
      <c r="AD174" s="12">
        <f>T174*AA174</f>
      </c>
      <c r="AE174" s="11">
        <v>945.3</v>
      </c>
      <c r="AF174" s="12">
        <v>25</v>
      </c>
      <c r="AG174" s="12">
        <f>SUM(AB174:AF174)</f>
      </c>
      <c r="AH174" s="3"/>
      <c r="AI174" s="3"/>
      <c r="AJ174" s="3"/>
      <c r="AK174" s="3"/>
      <c r="AL174" s="3"/>
      <c r="AO174" s="3" t="s">
        <v>938</v>
      </c>
      <c r="AP174" s="6">
        <f>Q174</f>
      </c>
    </row>
    <row r="175" ht="18" customHeight="1" spans="1:42" x14ac:dyDescent="0.25">
      <c r="A175" s="3" t="s">
        <v>38</v>
      </c>
      <c r="B175" s="3" t="s">
        <v>39</v>
      </c>
      <c r="C175" s="3" t="s">
        <v>40</v>
      </c>
      <c r="D175" s="3" t="s">
        <v>41</v>
      </c>
      <c r="E175" s="3" t="s">
        <v>123</v>
      </c>
      <c r="F175" s="3" t="s">
        <v>939</v>
      </c>
      <c r="G175" s="4" t="s">
        <v>47</v>
      </c>
      <c r="H175" s="3" t="s">
        <v>940</v>
      </c>
      <c r="I175" s="3" t="s">
        <v>183</v>
      </c>
      <c r="J175" s="3" t="s">
        <v>941</v>
      </c>
      <c r="K175" s="5" t="s">
        <v>907</v>
      </c>
      <c r="L175" s="5" t="s">
        <v>67</v>
      </c>
      <c r="M175" s="5" t="s">
        <v>179</v>
      </c>
      <c r="N175" s="4" t="s">
        <v>47</v>
      </c>
      <c r="O175" s="6">
        <v>39262</v>
      </c>
      <c r="P175" s="6">
        <v>39300</v>
      </c>
      <c r="Q175" s="6">
        <f>P175-O175</f>
      </c>
      <c r="R175" s="7">
        <v>100</v>
      </c>
      <c r="S175" s="6">
        <f>IF(Q175-R175&lt;0,"0",Q175-R175)</f>
      </c>
      <c r="T175" s="6">
        <v>0</v>
      </c>
      <c r="U175" s="8">
        <v>46181.64583333333</v>
      </c>
      <c r="V175" s="8">
        <v>46181.7137037037</v>
      </c>
      <c r="W175" s="9">
        <f>V175-U175</f>
      </c>
      <c r="X175" s="10">
        <v>0.25</v>
      </c>
      <c r="Y175" s="9">
        <f>IF(W175-X175&lt;0,"00:00:00",W175-X175)</f>
      </c>
      <c r="Z175" s="11">
        <v>145</v>
      </c>
      <c r="AA175" s="11">
        <v>0</v>
      </c>
      <c r="AB175" s="12">
        <f>Y175*Z175*24</f>
      </c>
      <c r="AC175" s="12">
        <f>S175*AA175</f>
      </c>
      <c r="AD175" s="12">
        <f>T175*AA175</f>
      </c>
      <c r="AE175" s="11">
        <v>690</v>
      </c>
      <c r="AF175" s="12">
        <v>13.6</v>
      </c>
      <c r="AG175" s="12">
        <f>SUM(AB175:AF175)</f>
      </c>
      <c r="AH175" s="3"/>
      <c r="AI175" s="3"/>
      <c r="AJ175" s="3"/>
      <c r="AK175" s="3"/>
      <c r="AL175" s="3"/>
      <c r="AO175" s="3" t="s">
        <v>69</v>
      </c>
      <c r="AP175" s="6">
        <f>Q175</f>
      </c>
    </row>
    <row r="176" ht="18" customHeight="1" spans="1:42" x14ac:dyDescent="0.25">
      <c r="A176" s="3" t="s">
        <v>38</v>
      </c>
      <c r="B176" s="3" t="s">
        <v>39</v>
      </c>
      <c r="C176" s="3" t="s">
        <v>40</v>
      </c>
      <c r="D176" s="3" t="s">
        <v>41</v>
      </c>
      <c r="E176" s="3" t="s">
        <v>123</v>
      </c>
      <c r="F176" s="3" t="s">
        <v>942</v>
      </c>
      <c r="G176" s="4" t="s">
        <v>47</v>
      </c>
      <c r="H176" s="3" t="s">
        <v>943</v>
      </c>
      <c r="I176" s="3" t="s">
        <v>255</v>
      </c>
      <c r="J176" s="3" t="s">
        <v>944</v>
      </c>
      <c r="K176" s="5" t="s">
        <v>907</v>
      </c>
      <c r="L176" s="5" t="s">
        <v>67</v>
      </c>
      <c r="M176" s="5" t="s">
        <v>179</v>
      </c>
      <c r="N176" s="4" t="s">
        <v>47</v>
      </c>
      <c r="O176" s="6">
        <v>501387</v>
      </c>
      <c r="P176" s="6">
        <v>501486</v>
      </c>
      <c r="Q176" s="6">
        <f>P176-O176</f>
      </c>
      <c r="R176" s="7">
        <v>100</v>
      </c>
      <c r="S176" s="6">
        <f>IF(Q176-R176&lt;0,"0",Q176-R176)</f>
      </c>
      <c r="T176" s="6">
        <v>0</v>
      </c>
      <c r="U176" s="8">
        <v>46181.64583333333</v>
      </c>
      <c r="V176" s="8">
        <v>46181.8653587963</v>
      </c>
      <c r="W176" s="9">
        <f>V176-U176</f>
      </c>
      <c r="X176" s="10">
        <v>0.25</v>
      </c>
      <c r="Y176" s="9">
        <f>IF(W176-X176&lt;0,"00:00:00",W176-X176)</f>
      </c>
      <c r="Z176" s="11">
        <v>145</v>
      </c>
      <c r="AA176" s="11">
        <v>0</v>
      </c>
      <c r="AB176" s="12">
        <f>Y176*Z176*24</f>
      </c>
      <c r="AC176" s="12">
        <f>S176*AA176</f>
      </c>
      <c r="AD176" s="12">
        <f>T176*AA176</f>
      </c>
      <c r="AE176" s="11">
        <v>690</v>
      </c>
      <c r="AF176" s="12">
        <v>25</v>
      </c>
      <c r="AG176" s="12">
        <f>SUM(AB176:AF176)</f>
      </c>
      <c r="AH176" s="3"/>
      <c r="AI176" s="3"/>
      <c r="AJ176" s="3"/>
      <c r="AK176" s="3"/>
      <c r="AL176" s="3"/>
      <c r="AO176" s="3" t="s">
        <v>69</v>
      </c>
      <c r="AP176" s="6">
        <f>Q176</f>
      </c>
    </row>
    <row r="177" ht="18" customHeight="1" spans="1:42" x14ac:dyDescent="0.25">
      <c r="A177" s="3" t="s">
        <v>38</v>
      </c>
      <c r="B177" s="3" t="s">
        <v>39</v>
      </c>
      <c r="C177" s="3" t="s">
        <v>40</v>
      </c>
      <c r="D177" s="3" t="s">
        <v>117</v>
      </c>
      <c r="E177" s="3" t="s">
        <v>928</v>
      </c>
      <c r="F177" s="3" t="s">
        <v>945</v>
      </c>
      <c r="G177" s="4" t="s">
        <v>47</v>
      </c>
      <c r="H177" s="3" t="s">
        <v>946</v>
      </c>
      <c r="I177" s="3" t="s">
        <v>442</v>
      </c>
      <c r="J177" s="4" t="s">
        <v>47</v>
      </c>
      <c r="K177" s="5" t="s">
        <v>274</v>
      </c>
      <c r="L177" s="5" t="s">
        <v>67</v>
      </c>
      <c r="M177" s="5" t="s">
        <v>755</v>
      </c>
      <c r="N177" s="3" t="s">
        <v>67</v>
      </c>
      <c r="O177" s="6">
        <v>0</v>
      </c>
      <c r="P177" s="6">
        <v>0</v>
      </c>
      <c r="Q177" s="6">
        <v>0</v>
      </c>
      <c r="R177" s="7">
        <v>34</v>
      </c>
      <c r="S177" s="6">
        <f>IF(Q177-R177&lt;0,"0",Q177-R177)</f>
      </c>
      <c r="T177" s="6">
        <v>0</v>
      </c>
      <c r="U177" s="8">
        <v>46181.694444444445</v>
      </c>
      <c r="V177" s="8">
        <v>46181.694444444445</v>
      </c>
      <c r="W177" s="9">
        <f>V177-U177</f>
      </c>
      <c r="X177" s="10">
        <v>0.125</v>
      </c>
      <c r="Y177" s="9">
        <f>IF(W177-X177&lt;0,"00:00:00",W177-X177)</f>
      </c>
      <c r="Z177" s="11">
        <v>145</v>
      </c>
      <c r="AA177" s="11">
        <v>0</v>
      </c>
      <c r="AB177" s="12">
        <f>Y177*Z177*24</f>
      </c>
      <c r="AC177" s="12">
        <f>S177*AA177</f>
      </c>
      <c r="AD177" s="12">
        <f>T177*AA177</f>
      </c>
      <c r="AE177" s="11">
        <v>690</v>
      </c>
      <c r="AF177" s="12">
        <v>0</v>
      </c>
      <c r="AG177" s="12">
        <f>SUM(AB177:AF177)</f>
      </c>
      <c r="AH177" s="3"/>
      <c r="AI177" s="3"/>
      <c r="AJ177" s="3"/>
      <c r="AK177" s="3"/>
      <c r="AL177" s="3"/>
      <c r="AO177" s="3" t="s">
        <v>315</v>
      </c>
      <c r="AP177" s="6">
        <f>Q177</f>
      </c>
    </row>
    <row r="178" ht="18" customHeight="1" spans="1:42" x14ac:dyDescent="0.25">
      <c r="A178" s="14" t="s">
        <v>38</v>
      </c>
      <c r="B178" s="14" t="s">
        <v>39</v>
      </c>
      <c r="C178" s="14" t="s">
        <v>40</v>
      </c>
      <c r="D178" s="14" t="s">
        <v>947</v>
      </c>
      <c r="E178" s="14" t="s">
        <v>123</v>
      </c>
      <c r="F178" s="14" t="s">
        <v>948</v>
      </c>
      <c r="G178" s="14" t="s">
        <v>47</v>
      </c>
      <c r="H178" s="14" t="s">
        <v>949</v>
      </c>
      <c r="I178" s="14" t="s">
        <v>609</v>
      </c>
      <c r="J178" s="14" t="s">
        <v>950</v>
      </c>
      <c r="K178" s="15" t="s">
        <v>169</v>
      </c>
      <c r="L178" s="15" t="s">
        <v>67</v>
      </c>
      <c r="M178" s="15" t="s">
        <v>951</v>
      </c>
      <c r="N178" s="14" t="s">
        <v>67</v>
      </c>
      <c r="O178" s="7">
        <v>45172</v>
      </c>
      <c r="P178" s="7">
        <v>45259</v>
      </c>
      <c r="Q178" s="7">
        <f>P178-O178</f>
      </c>
      <c r="R178" s="7">
        <v>0</v>
      </c>
      <c r="S178" s="7">
        <f>IF(Q178-R178&lt;0,"0",Q178-R178)</f>
      </c>
      <c r="T178" s="7">
        <v>0</v>
      </c>
      <c r="U178" s="16">
        <v>46182.25</v>
      </c>
      <c r="V178" s="16">
        <v>46182.51435185185</v>
      </c>
      <c r="W178" s="10">
        <f>V178-U178</f>
      </c>
      <c r="X178" s="10">
        <v>0</v>
      </c>
      <c r="Y178" s="10">
        <f>IF(W178-X178&lt;0,"00:00:00",W178-X178)</f>
      </c>
      <c r="Z178" s="11">
        <v>0</v>
      </c>
      <c r="AA178" s="11">
        <v>0</v>
      </c>
      <c r="AB178" s="11">
        <f>Y178*Z178*24</f>
      </c>
      <c r="AC178" s="11">
        <f>S178*AA178</f>
      </c>
      <c r="AD178" s="11">
        <f>T178*AA178</f>
      </c>
      <c r="AE178" s="11">
        <v>0</v>
      </c>
      <c r="AF178" s="11">
        <v>0</v>
      </c>
      <c r="AG178" s="11">
        <f>SUM(AB178:AF178)</f>
      </c>
      <c r="AH178" s="14"/>
      <c r="AI178" s="14"/>
      <c r="AJ178" s="14"/>
      <c r="AK178" s="14"/>
      <c r="AL178" s="14"/>
      <c r="AM178" s="17"/>
      <c r="AN178" s="17"/>
      <c r="AO178" s="14" t="s">
        <v>47</v>
      </c>
      <c r="AP178" s="7">
        <f>Q178</f>
      </c>
    </row>
    <row r="179" ht="18" customHeight="1" spans="1:42" x14ac:dyDescent="0.25">
      <c r="A179" s="14" t="s">
        <v>38</v>
      </c>
      <c r="B179" s="14" t="s">
        <v>39</v>
      </c>
      <c r="C179" s="14" t="s">
        <v>40</v>
      </c>
      <c r="D179" s="14" t="s">
        <v>41</v>
      </c>
      <c r="E179" s="14" t="s">
        <v>283</v>
      </c>
      <c r="F179" s="14" t="s">
        <v>952</v>
      </c>
      <c r="G179" s="14" t="s">
        <v>47</v>
      </c>
      <c r="H179" s="14" t="s">
        <v>953</v>
      </c>
      <c r="I179" s="14" t="s">
        <v>954</v>
      </c>
      <c r="J179" s="14" t="s">
        <v>955</v>
      </c>
      <c r="K179" s="15" t="s">
        <v>553</v>
      </c>
      <c r="L179" s="15" t="s">
        <v>67</v>
      </c>
      <c r="M179" s="15" t="s">
        <v>916</v>
      </c>
      <c r="N179" s="14" t="s">
        <v>67</v>
      </c>
      <c r="O179" s="7">
        <v>267</v>
      </c>
      <c r="P179" s="7">
        <v>345</v>
      </c>
      <c r="Q179" s="7">
        <f>P179-O179</f>
      </c>
      <c r="R179" s="7">
        <v>0</v>
      </c>
      <c r="S179" s="7">
        <f>IF(Q179-R179&lt;0,"0",Q179-R179)</f>
      </c>
      <c r="T179" s="7">
        <v>0</v>
      </c>
      <c r="U179" s="16">
        <v>46181.83333333333</v>
      </c>
      <c r="V179" s="16">
        <v>46181.93719907408</v>
      </c>
      <c r="W179" s="10">
        <f>V179-U179</f>
      </c>
      <c r="X179" s="10">
        <v>0</v>
      </c>
      <c r="Y179" s="10">
        <f>IF(W179-X179&lt;0,"00:00:00",W179-X179)</f>
      </c>
      <c r="Z179" s="11">
        <v>0</v>
      </c>
      <c r="AA179" s="11">
        <v>0</v>
      </c>
      <c r="AB179" s="11">
        <f>Y179*Z179*24</f>
      </c>
      <c r="AC179" s="11">
        <f>S179*AA179</f>
      </c>
      <c r="AD179" s="11">
        <f>T179*AA179</f>
      </c>
      <c r="AE179" s="11">
        <v>0</v>
      </c>
      <c r="AF179" s="11">
        <v>28.6</v>
      </c>
      <c r="AG179" s="11">
        <f>SUM(AB179:AF179)</f>
      </c>
      <c r="AH179" s="14"/>
      <c r="AI179" s="14"/>
      <c r="AJ179" s="14"/>
      <c r="AK179" s="14"/>
      <c r="AL179" s="14"/>
      <c r="AM179" s="17"/>
      <c r="AN179" s="17"/>
      <c r="AO179" s="14" t="s">
        <v>47</v>
      </c>
      <c r="AP179" s="7">
        <f>Q179</f>
      </c>
    </row>
    <row r="180" ht="18" customHeight="1" spans="1:42" x14ac:dyDescent="0.25">
      <c r="A180" s="14" t="s">
        <v>38</v>
      </c>
      <c r="B180" s="14" t="s">
        <v>39</v>
      </c>
      <c r="C180" s="14" t="s">
        <v>40</v>
      </c>
      <c r="D180" s="14" t="s">
        <v>956</v>
      </c>
      <c r="E180" s="14" t="s">
        <v>957</v>
      </c>
      <c r="F180" s="14" t="s">
        <v>958</v>
      </c>
      <c r="G180" s="14" t="s">
        <v>47</v>
      </c>
      <c r="H180" s="14" t="s">
        <v>959</v>
      </c>
      <c r="I180" s="14" t="s">
        <v>85</v>
      </c>
      <c r="J180" s="14" t="s">
        <v>960</v>
      </c>
      <c r="K180" s="15" t="s">
        <v>899</v>
      </c>
      <c r="L180" s="15" t="s">
        <v>88</v>
      </c>
      <c r="M180" s="15" t="s">
        <v>900</v>
      </c>
      <c r="N180" s="14" t="s">
        <v>88</v>
      </c>
      <c r="O180" s="7">
        <v>167132</v>
      </c>
      <c r="P180" s="7">
        <v>167210</v>
      </c>
      <c r="Q180" s="7">
        <f>P180-O180</f>
      </c>
      <c r="R180" s="7">
        <v>0</v>
      </c>
      <c r="S180" s="7">
        <f>IF(Q180-R180&lt;0,"0",Q180-R180)</f>
      </c>
      <c r="T180" s="7">
        <v>0</v>
      </c>
      <c r="U180" s="16">
        <v>46182.39583333333</v>
      </c>
      <c r="V180" s="16">
        <v>46182.59609953704</v>
      </c>
      <c r="W180" s="10">
        <f>V180-U180</f>
      </c>
      <c r="X180" s="10">
        <v>0</v>
      </c>
      <c r="Y180" s="10">
        <f>IF(W180-X180&lt;0,"00:00:00",W180-X180)</f>
      </c>
      <c r="Z180" s="11">
        <v>0</v>
      </c>
      <c r="AA180" s="11">
        <v>0</v>
      </c>
      <c r="AB180" s="11">
        <f>Y180*Z180*24</f>
      </c>
      <c r="AC180" s="11">
        <f>S180*AA180</f>
      </c>
      <c r="AD180" s="11">
        <f>T180*AA180</f>
      </c>
      <c r="AE180" s="11">
        <v>0</v>
      </c>
      <c r="AF180" s="11">
        <v>0</v>
      </c>
      <c r="AG180" s="11">
        <f>SUM(AB180:AF180)</f>
      </c>
      <c r="AH180" s="14"/>
      <c r="AI180" s="14"/>
      <c r="AJ180" s="14"/>
      <c r="AK180" s="14"/>
      <c r="AL180" s="14"/>
      <c r="AM180" s="17"/>
      <c r="AN180" s="17"/>
      <c r="AO180" s="14" t="s">
        <v>47</v>
      </c>
      <c r="AP180" s="7">
        <f>Q180</f>
      </c>
    </row>
    <row r="181" ht="18" customHeight="1" spans="1:42" x14ac:dyDescent="0.25">
      <c r="A181" s="3" t="s">
        <v>38</v>
      </c>
      <c r="B181" s="3" t="s">
        <v>39</v>
      </c>
      <c r="C181" s="3" t="s">
        <v>40</v>
      </c>
      <c r="D181" s="3" t="s">
        <v>947</v>
      </c>
      <c r="E181" s="3" t="s">
        <v>218</v>
      </c>
      <c r="F181" s="3" t="s">
        <v>961</v>
      </c>
      <c r="G181" s="4" t="s">
        <v>47</v>
      </c>
      <c r="H181" s="3" t="s">
        <v>962</v>
      </c>
      <c r="I181" s="3" t="s">
        <v>311</v>
      </c>
      <c r="J181" s="3" t="s">
        <v>963</v>
      </c>
      <c r="K181" s="5" t="s">
        <v>169</v>
      </c>
      <c r="L181" s="5" t="s">
        <v>67</v>
      </c>
      <c r="M181" s="5" t="s">
        <v>223</v>
      </c>
      <c r="N181" s="4" t="s">
        <v>47</v>
      </c>
      <c r="O181" s="6">
        <v>127063</v>
      </c>
      <c r="P181" s="6">
        <v>127110</v>
      </c>
      <c r="Q181" s="6">
        <v>400</v>
      </c>
      <c r="R181" s="7">
        <v>400</v>
      </c>
      <c r="S181" s="6">
        <f>IF(Q181-R181&lt;0,"0",Q181-R181)</f>
      </c>
      <c r="T181" s="6">
        <v>0</v>
      </c>
      <c r="U181" s="8">
        <v>46182.36111111111</v>
      </c>
      <c r="V181" s="8">
        <v>46182.50113425926</v>
      </c>
      <c r="W181" s="9">
        <f>V181-U181</f>
      </c>
      <c r="X181" s="10">
        <v>0.375</v>
      </c>
      <c r="Y181" s="9">
        <f>IF(W181-X181&lt;0,"00:00:00",W181-X181)</f>
      </c>
      <c r="Z181" s="11">
        <v>145</v>
      </c>
      <c r="AA181" s="11">
        <v>0</v>
      </c>
      <c r="AB181" s="12">
        <f>Y181*Z181*24</f>
      </c>
      <c r="AC181" s="12">
        <f>S181*AA181</f>
      </c>
      <c r="AD181" s="12">
        <f>T181*AA181</f>
      </c>
      <c r="AE181" s="11">
        <v>2760</v>
      </c>
      <c r="AF181" s="12">
        <v>0</v>
      </c>
      <c r="AG181" s="12">
        <f>SUM(AB181:AF181)</f>
      </c>
      <c r="AH181" s="3"/>
      <c r="AI181" s="3"/>
      <c r="AJ181" s="3"/>
      <c r="AK181" s="3"/>
      <c r="AL181" s="3"/>
      <c r="AO181" s="3" t="s">
        <v>224</v>
      </c>
      <c r="AP181" s="6">
        <f>Q181</f>
      </c>
    </row>
    <row r="182" ht="18" customHeight="1" spans="1:42" x14ac:dyDescent="0.25">
      <c r="A182" s="3" t="s">
        <v>38</v>
      </c>
      <c r="B182" s="3" t="s">
        <v>39</v>
      </c>
      <c r="C182" s="3" t="s">
        <v>40</v>
      </c>
      <c r="D182" s="3" t="s">
        <v>947</v>
      </c>
      <c r="E182" s="3" t="s">
        <v>389</v>
      </c>
      <c r="F182" s="3" t="s">
        <v>964</v>
      </c>
      <c r="G182" s="4" t="s">
        <v>47</v>
      </c>
      <c r="H182" s="3" t="s">
        <v>965</v>
      </c>
      <c r="I182" s="3" t="s">
        <v>966</v>
      </c>
      <c r="J182" s="3" t="s">
        <v>967</v>
      </c>
      <c r="K182" s="5" t="s">
        <v>394</v>
      </c>
      <c r="L182" s="5" t="s">
        <v>88</v>
      </c>
      <c r="M182" s="5" t="s">
        <v>68</v>
      </c>
      <c r="N182" s="4" t="s">
        <v>47</v>
      </c>
      <c r="O182" s="6">
        <v>168120</v>
      </c>
      <c r="P182" s="6">
        <v>168321</v>
      </c>
      <c r="Q182" s="6">
        <v>200</v>
      </c>
      <c r="R182" s="7">
        <v>200</v>
      </c>
      <c r="S182" s="6">
        <f>IF(Q182-R182&lt;0,"0",Q182-R182)</f>
      </c>
      <c r="T182" s="6">
        <v>0</v>
      </c>
      <c r="U182" s="8">
        <v>46181.993055555555</v>
      </c>
      <c r="V182" s="8">
        <v>46182.508564814816</v>
      </c>
      <c r="W182" s="9">
        <f>V182-U182</f>
      </c>
      <c r="X182" s="10">
        <v>0.20833333333333334</v>
      </c>
      <c r="Y182" s="9">
        <f>IF(W182-X182&lt;0,"00:00:00",W182-X182)</f>
      </c>
      <c r="Z182" s="11">
        <v>145</v>
      </c>
      <c r="AA182" s="11">
        <v>0</v>
      </c>
      <c r="AB182" s="12">
        <f>Y182*Z182*24</f>
      </c>
      <c r="AC182" s="12">
        <f>S182*AA182</f>
      </c>
      <c r="AD182" s="12">
        <f>T182*AA182</f>
      </c>
      <c r="AE182" s="11">
        <v>1380</v>
      </c>
      <c r="AF182" s="12">
        <v>0</v>
      </c>
      <c r="AG182" s="12">
        <f>SUM(AB182:AF182)</f>
      </c>
      <c r="AH182" s="3"/>
      <c r="AI182" s="3"/>
      <c r="AJ182" s="3"/>
      <c r="AK182" s="3"/>
      <c r="AL182" s="3"/>
      <c r="AO182" s="3" t="s">
        <v>395</v>
      </c>
      <c r="AP182" s="6">
        <f>Q182</f>
      </c>
    </row>
    <row r="183" ht="18" customHeight="1" spans="1:42" x14ac:dyDescent="0.25">
      <c r="A183" s="3" t="s">
        <v>38</v>
      </c>
      <c r="B183" s="3" t="s">
        <v>39</v>
      </c>
      <c r="C183" s="3" t="s">
        <v>40</v>
      </c>
      <c r="D183" s="3" t="s">
        <v>41</v>
      </c>
      <c r="E183" s="3" t="s">
        <v>389</v>
      </c>
      <c r="F183" s="3" t="s">
        <v>968</v>
      </c>
      <c r="G183" s="4" t="s">
        <v>47</v>
      </c>
      <c r="H183" s="3" t="s">
        <v>969</v>
      </c>
      <c r="I183" s="3" t="s">
        <v>85</v>
      </c>
      <c r="J183" s="3" t="s">
        <v>462</v>
      </c>
      <c r="K183" s="5" t="s">
        <v>87</v>
      </c>
      <c r="L183" s="5" t="s">
        <v>88</v>
      </c>
      <c r="M183" s="5" t="s">
        <v>68</v>
      </c>
      <c r="N183" s="4" t="s">
        <v>47</v>
      </c>
      <c r="O183" s="6">
        <v>166673</v>
      </c>
      <c r="P183" s="6">
        <v>166873</v>
      </c>
      <c r="Q183" s="6">
        <v>200</v>
      </c>
      <c r="R183" s="7">
        <v>200</v>
      </c>
      <c r="S183" s="6">
        <f>IF(Q183-R183&lt;0,"0",Q183-R183)</f>
      </c>
      <c r="T183" s="6">
        <v>0</v>
      </c>
      <c r="U183" s="8">
        <v>46182</v>
      </c>
      <c r="V183" s="8">
        <v>46182.13232638889</v>
      </c>
      <c r="W183" s="9">
        <f>V183-U183</f>
      </c>
      <c r="X183" s="10">
        <v>0.20833333333333334</v>
      </c>
      <c r="Y183" s="9">
        <f>IF(W183-X183&lt;0,"00:00:00",W183-X183)</f>
      </c>
      <c r="Z183" s="11">
        <v>145</v>
      </c>
      <c r="AA183" s="11">
        <v>0</v>
      </c>
      <c r="AB183" s="12">
        <f>Y183*Z183*24</f>
      </c>
      <c r="AC183" s="12">
        <f>S183*AA183</f>
      </c>
      <c r="AD183" s="12">
        <f>T183*AA183</f>
      </c>
      <c r="AE183" s="11">
        <v>1380</v>
      </c>
      <c r="AF183" s="12">
        <v>35</v>
      </c>
      <c r="AG183" s="12">
        <f>SUM(AB183:AF183)</f>
      </c>
      <c r="AH183" s="3"/>
      <c r="AI183" s="3"/>
      <c r="AJ183" s="3"/>
      <c r="AK183" s="3"/>
      <c r="AL183" s="3"/>
      <c r="AO183" s="3" t="s">
        <v>970</v>
      </c>
      <c r="AP183" s="6">
        <f>Q183</f>
      </c>
    </row>
    <row r="184" ht="18" customHeight="1" spans="1:42" x14ac:dyDescent="0.25">
      <c r="A184" s="14" t="s">
        <v>38</v>
      </c>
      <c r="B184" s="14" t="s">
        <v>39</v>
      </c>
      <c r="C184" s="14" t="s">
        <v>40</v>
      </c>
      <c r="D184" s="14" t="s">
        <v>947</v>
      </c>
      <c r="E184" s="14" t="s">
        <v>971</v>
      </c>
      <c r="F184" s="14" t="s">
        <v>972</v>
      </c>
      <c r="G184" s="14" t="s">
        <v>47</v>
      </c>
      <c r="H184" s="14" t="s">
        <v>973</v>
      </c>
      <c r="I184" s="14" t="s">
        <v>442</v>
      </c>
      <c r="J184" s="14" t="s">
        <v>789</v>
      </c>
      <c r="K184" s="15" t="s">
        <v>169</v>
      </c>
      <c r="L184" s="15" t="s">
        <v>67</v>
      </c>
      <c r="M184" s="15" t="s">
        <v>974</v>
      </c>
      <c r="N184" s="14" t="s">
        <v>975</v>
      </c>
      <c r="O184" s="7">
        <v>10438</v>
      </c>
      <c r="P184" s="7">
        <v>0</v>
      </c>
      <c r="Q184" s="7">
        <f>P184-O184</f>
      </c>
      <c r="R184" s="7">
        <v>0</v>
      </c>
      <c r="S184" s="7">
        <f>IF(Q184-R184&lt;0,"0",Q184-R184)</f>
      </c>
      <c r="T184" s="7">
        <v>0</v>
      </c>
      <c r="U184" s="16">
        <v>46182.16666666667</v>
      </c>
      <c r="V184" s="16">
        <v>46182.645254629635</v>
      </c>
      <c r="W184" s="10">
        <f>V184-U184</f>
      </c>
      <c r="X184" s="10">
        <v>0</v>
      </c>
      <c r="Y184" s="10">
        <f>IF(W184-X184&lt;0,"00:00:00",W184-X184)</f>
      </c>
      <c r="Z184" s="11">
        <v>0</v>
      </c>
      <c r="AA184" s="11">
        <v>0</v>
      </c>
      <c r="AB184" s="11">
        <f>Y184*Z184*24</f>
      </c>
      <c r="AC184" s="11">
        <f>S184*AA184</f>
      </c>
      <c r="AD184" s="11">
        <f>T184*AA184</f>
      </c>
      <c r="AE184" s="11">
        <v>0</v>
      </c>
      <c r="AF184" s="11">
        <v>0</v>
      </c>
      <c r="AG184" s="11">
        <f>SUM(AB184:AF184)</f>
      </c>
      <c r="AH184" s="14"/>
      <c r="AI184" s="14"/>
      <c r="AJ184" s="14"/>
      <c r="AK184" s="14"/>
      <c r="AL184" s="14"/>
      <c r="AM184" s="17"/>
      <c r="AN184" s="17"/>
      <c r="AO184" s="14" t="s">
        <v>47</v>
      </c>
      <c r="AP184" s="7">
        <f>Q184</f>
      </c>
    </row>
    <row r="185" ht="18" customHeight="1" spans="1:42" x14ac:dyDescent="0.25">
      <c r="A185" s="14" t="s">
        <v>38</v>
      </c>
      <c r="B185" s="14" t="s">
        <v>39</v>
      </c>
      <c r="C185" s="14" t="s">
        <v>40</v>
      </c>
      <c r="D185" s="14" t="s">
        <v>956</v>
      </c>
      <c r="E185" s="14" t="s">
        <v>123</v>
      </c>
      <c r="F185" s="14" t="s">
        <v>976</v>
      </c>
      <c r="G185" s="14" t="s">
        <v>47</v>
      </c>
      <c r="H185" s="14" t="s">
        <v>977</v>
      </c>
      <c r="I185" s="14" t="s">
        <v>558</v>
      </c>
      <c r="J185" s="14" t="s">
        <v>926</v>
      </c>
      <c r="K185" s="15" t="s">
        <v>605</v>
      </c>
      <c r="L185" s="15" t="s">
        <v>67</v>
      </c>
      <c r="M185" s="15" t="s">
        <v>274</v>
      </c>
      <c r="N185" s="14" t="s">
        <v>67</v>
      </c>
      <c r="O185" s="7">
        <v>29153</v>
      </c>
      <c r="P185" s="7">
        <v>29153</v>
      </c>
      <c r="Q185" s="7">
        <f>P185-O185</f>
      </c>
      <c r="R185" s="7">
        <v>0</v>
      </c>
      <c r="S185" s="7">
        <f>IF(Q185-R185&lt;0,"0",Q185-R185)</f>
      </c>
      <c r="T185" s="7">
        <v>0</v>
      </c>
      <c r="U185" s="16">
        <v>46182.47916666667</v>
      </c>
      <c r="V185" s="16">
        <v>46182.47916666667</v>
      </c>
      <c r="W185" s="10">
        <f>V185-U185</f>
      </c>
      <c r="X185" s="10">
        <v>0</v>
      </c>
      <c r="Y185" s="10">
        <f>IF(W185-X185&lt;0,"00:00:00",W185-X185)</f>
      </c>
      <c r="Z185" s="11">
        <v>0</v>
      </c>
      <c r="AA185" s="11">
        <v>0</v>
      </c>
      <c r="AB185" s="11">
        <f>Y185*Z185*24</f>
      </c>
      <c r="AC185" s="11">
        <f>S185*AA185</f>
      </c>
      <c r="AD185" s="11">
        <f>T185*AA185</f>
      </c>
      <c r="AE185" s="11">
        <v>0</v>
      </c>
      <c r="AF185" s="11">
        <v>4.9</v>
      </c>
      <c r="AG185" s="11">
        <f>SUM(AB185:AF185)</f>
      </c>
      <c r="AH185" s="14"/>
      <c r="AI185" s="14"/>
      <c r="AJ185" s="14"/>
      <c r="AK185" s="14"/>
      <c r="AL185" s="14"/>
      <c r="AM185" s="17"/>
      <c r="AN185" s="17"/>
      <c r="AO185" s="14" t="s">
        <v>47</v>
      </c>
      <c r="AP185" s="7">
        <f>Q185</f>
      </c>
    </row>
    <row r="186" ht="18" customHeight="1" spans="1:42" x14ac:dyDescent="0.25">
      <c r="A186" s="14" t="s">
        <v>38</v>
      </c>
      <c r="B186" s="14" t="s">
        <v>39</v>
      </c>
      <c r="C186" s="14" t="s">
        <v>40</v>
      </c>
      <c r="D186" s="14" t="s">
        <v>978</v>
      </c>
      <c r="E186" s="14" t="s">
        <v>123</v>
      </c>
      <c r="F186" s="14" t="s">
        <v>979</v>
      </c>
      <c r="G186" s="14" t="s">
        <v>47</v>
      </c>
      <c r="H186" s="14" t="s">
        <v>980</v>
      </c>
      <c r="I186" s="14" t="s">
        <v>148</v>
      </c>
      <c r="J186" s="14" t="s">
        <v>981</v>
      </c>
      <c r="K186" s="15" t="s">
        <v>115</v>
      </c>
      <c r="L186" s="15" t="s">
        <v>67</v>
      </c>
      <c r="M186" s="15" t="s">
        <v>274</v>
      </c>
      <c r="N186" s="14" t="s">
        <v>67</v>
      </c>
      <c r="O186" s="7">
        <v>545323</v>
      </c>
      <c r="P186" s="7">
        <v>545323</v>
      </c>
      <c r="Q186" s="7">
        <f>P186-O186</f>
      </c>
      <c r="R186" s="7">
        <v>0</v>
      </c>
      <c r="S186" s="7">
        <f>IF(Q186-R186&lt;0,"0",Q186-R186)</f>
      </c>
      <c r="T186" s="7">
        <v>0</v>
      </c>
      <c r="U186" s="16">
        <v>46182.47916666667</v>
      </c>
      <c r="V186" s="16">
        <v>46182.47916666667</v>
      </c>
      <c r="W186" s="10">
        <f>V186-U186</f>
      </c>
      <c r="X186" s="10">
        <v>0</v>
      </c>
      <c r="Y186" s="10">
        <f>IF(W186-X186&lt;0,"00:00:00",W186-X186)</f>
      </c>
      <c r="Z186" s="11">
        <v>0</v>
      </c>
      <c r="AA186" s="11">
        <v>0</v>
      </c>
      <c r="AB186" s="11">
        <f>Y186*Z186*24</f>
      </c>
      <c r="AC186" s="11">
        <f>S186*AA186</f>
      </c>
      <c r="AD186" s="11">
        <f>T186*AA186</f>
      </c>
      <c r="AE186" s="11">
        <v>0</v>
      </c>
      <c r="AF186" s="11">
        <v>4.8</v>
      </c>
      <c r="AG186" s="11">
        <f>SUM(AB186:AF186)</f>
      </c>
      <c r="AH186" s="14"/>
      <c r="AI186" s="14"/>
      <c r="AJ186" s="14"/>
      <c r="AK186" s="14"/>
      <c r="AL186" s="14"/>
      <c r="AM186" s="17"/>
      <c r="AN186" s="17"/>
      <c r="AO186" s="14" t="s">
        <v>47</v>
      </c>
      <c r="AP186" s="7">
        <f>Q186</f>
      </c>
    </row>
    <row r="187" ht="18" customHeight="1" spans="1:42" x14ac:dyDescent="0.25">
      <c r="A187" s="14" t="s">
        <v>38</v>
      </c>
      <c r="B187" s="14" t="s">
        <v>39</v>
      </c>
      <c r="C187" s="14" t="s">
        <v>40</v>
      </c>
      <c r="D187" s="14" t="s">
        <v>978</v>
      </c>
      <c r="E187" s="14" t="s">
        <v>123</v>
      </c>
      <c r="F187" s="14" t="s">
        <v>982</v>
      </c>
      <c r="G187" s="14" t="s">
        <v>47</v>
      </c>
      <c r="H187" s="14" t="s">
        <v>983</v>
      </c>
      <c r="I187" s="14" t="s">
        <v>222</v>
      </c>
      <c r="J187" s="14" t="s">
        <v>981</v>
      </c>
      <c r="K187" s="15" t="s">
        <v>546</v>
      </c>
      <c r="L187" s="15" t="s">
        <v>67</v>
      </c>
      <c r="M187" s="15" t="s">
        <v>274</v>
      </c>
      <c r="N187" s="14" t="s">
        <v>67</v>
      </c>
      <c r="O187" s="7">
        <v>52301</v>
      </c>
      <c r="P187" s="7">
        <v>52301</v>
      </c>
      <c r="Q187" s="7">
        <f>P187-O187</f>
      </c>
      <c r="R187" s="7">
        <v>0</v>
      </c>
      <c r="S187" s="7">
        <f>IF(Q187-R187&lt;0,"0",Q187-R187)</f>
      </c>
      <c r="T187" s="7">
        <v>0</v>
      </c>
      <c r="U187" s="16">
        <v>46182.47916666667</v>
      </c>
      <c r="V187" s="16">
        <v>46182.47916666667</v>
      </c>
      <c r="W187" s="10">
        <f>V187-U187</f>
      </c>
      <c r="X187" s="10">
        <v>0</v>
      </c>
      <c r="Y187" s="10">
        <f>IF(W187-X187&lt;0,"00:00:00",W187-X187)</f>
      </c>
      <c r="Z187" s="11">
        <v>0</v>
      </c>
      <c r="AA187" s="11">
        <v>0</v>
      </c>
      <c r="AB187" s="11">
        <f>Y187*Z187*24</f>
      </c>
      <c r="AC187" s="11">
        <f>S187*AA187</f>
      </c>
      <c r="AD187" s="11">
        <f>T187*AA187</f>
      </c>
      <c r="AE187" s="11">
        <v>0</v>
      </c>
      <c r="AF187" s="11">
        <v>18.8</v>
      </c>
      <c r="AG187" s="11">
        <f>SUM(AB187:AF187)</f>
      </c>
      <c r="AH187" s="14"/>
      <c r="AI187" s="14"/>
      <c r="AJ187" s="14"/>
      <c r="AK187" s="14"/>
      <c r="AL187" s="14"/>
      <c r="AM187" s="17"/>
      <c r="AN187" s="17"/>
      <c r="AO187" s="14" t="s">
        <v>47</v>
      </c>
      <c r="AP187" s="7">
        <f>Q187</f>
      </c>
    </row>
    <row r="188" ht="18" customHeight="1" spans="1:42" x14ac:dyDescent="0.25">
      <c r="A188" s="14" t="s">
        <v>38</v>
      </c>
      <c r="B188" s="14" t="s">
        <v>39</v>
      </c>
      <c r="C188" s="14" t="s">
        <v>40</v>
      </c>
      <c r="D188" s="14" t="s">
        <v>947</v>
      </c>
      <c r="E188" s="14" t="s">
        <v>195</v>
      </c>
      <c r="F188" s="14" t="s">
        <v>984</v>
      </c>
      <c r="G188" s="14" t="s">
        <v>47</v>
      </c>
      <c r="H188" s="14" t="s">
        <v>985</v>
      </c>
      <c r="I188" s="14" t="s">
        <v>986</v>
      </c>
      <c r="J188" s="14" t="s">
        <v>987</v>
      </c>
      <c r="K188" s="15" t="s">
        <v>169</v>
      </c>
      <c r="L188" s="15" t="s">
        <v>67</v>
      </c>
      <c r="M188" s="15" t="s">
        <v>201</v>
      </c>
      <c r="N188" s="14" t="s">
        <v>98</v>
      </c>
      <c r="O188" s="7">
        <v>39675</v>
      </c>
      <c r="P188" s="7">
        <v>0</v>
      </c>
      <c r="Q188" s="7">
        <f>P188-O188</f>
      </c>
      <c r="R188" s="7">
        <v>0</v>
      </c>
      <c r="S188" s="7">
        <f>IF(Q188-R188&lt;0,"0",Q188-R188)</f>
      </c>
      <c r="T188" s="7">
        <v>0</v>
      </c>
      <c r="U188" s="16">
        <v>46182.16666666667</v>
      </c>
      <c r="V188" s="16">
        <v>46182.61388888889</v>
      </c>
      <c r="W188" s="10">
        <f>V188-U188</f>
      </c>
      <c r="X188" s="10">
        <v>0</v>
      </c>
      <c r="Y188" s="10">
        <f>IF(W188-X188&lt;0,"00:00:00",W188-X188)</f>
      </c>
      <c r="Z188" s="11">
        <v>0</v>
      </c>
      <c r="AA188" s="11">
        <v>0</v>
      </c>
      <c r="AB188" s="11">
        <f>Y188*Z188*24</f>
      </c>
      <c r="AC188" s="11">
        <f>S188*AA188</f>
      </c>
      <c r="AD188" s="11">
        <f>T188*AA188</f>
      </c>
      <c r="AE188" s="11">
        <v>0</v>
      </c>
      <c r="AF188" s="11">
        <v>0</v>
      </c>
      <c r="AG188" s="11">
        <f>SUM(AB188:AF188)</f>
      </c>
      <c r="AH188" s="14"/>
      <c r="AI188" s="14"/>
      <c r="AJ188" s="14"/>
      <c r="AK188" s="14"/>
      <c r="AL188" s="14"/>
      <c r="AM188" s="17"/>
      <c r="AN188" s="17"/>
      <c r="AO188" s="14" t="s">
        <v>47</v>
      </c>
      <c r="AP188" s="7">
        <f>Q188</f>
      </c>
    </row>
    <row r="189" ht="18" customHeight="1" spans="1:42" x14ac:dyDescent="0.25">
      <c r="A189" s="3" t="s">
        <v>38</v>
      </c>
      <c r="B189" s="3" t="s">
        <v>39</v>
      </c>
      <c r="C189" s="3" t="s">
        <v>40</v>
      </c>
      <c r="D189" s="3" t="s">
        <v>41</v>
      </c>
      <c r="E189" s="3" t="s">
        <v>81</v>
      </c>
      <c r="F189" s="3" t="s">
        <v>988</v>
      </c>
      <c r="G189" s="4" t="s">
        <v>47</v>
      </c>
      <c r="H189" s="3" t="s">
        <v>989</v>
      </c>
      <c r="I189" s="3" t="s">
        <v>461</v>
      </c>
      <c r="J189" s="3" t="s">
        <v>990</v>
      </c>
      <c r="K189" s="5" t="s">
        <v>87</v>
      </c>
      <c r="L189" s="5" t="s">
        <v>88</v>
      </c>
      <c r="M189" s="5" t="s">
        <v>991</v>
      </c>
      <c r="N189" s="3" t="s">
        <v>88</v>
      </c>
      <c r="O189" s="6">
        <v>66864</v>
      </c>
      <c r="P189" s="6">
        <v>66899</v>
      </c>
      <c r="Q189" s="6">
        <f>P189-O189</f>
      </c>
      <c r="R189" s="7">
        <v>100</v>
      </c>
      <c r="S189" s="6">
        <f>IF(Q189-R189&lt;0,"0",Q189-R189)</f>
      </c>
      <c r="T189" s="6">
        <v>0</v>
      </c>
      <c r="U189" s="8">
        <v>46182.25</v>
      </c>
      <c r="V189" s="8">
        <v>46182.32225694445</v>
      </c>
      <c r="W189" s="9">
        <f>V189-U189</f>
      </c>
      <c r="X189" s="10">
        <v>0.125</v>
      </c>
      <c r="Y189" s="9">
        <f>IF(W189-X189&lt;0,"00:00:00",W189-X189)</f>
      </c>
      <c r="Z189" s="11">
        <v>145</v>
      </c>
      <c r="AA189" s="11">
        <v>0</v>
      </c>
      <c r="AB189" s="12">
        <f>Y189*Z189*24</f>
      </c>
      <c r="AC189" s="12">
        <f>S189*AA189</f>
      </c>
      <c r="AD189" s="12">
        <f>T189*AA189</f>
      </c>
      <c r="AE189" s="11">
        <v>690</v>
      </c>
      <c r="AF189" s="12">
        <v>0</v>
      </c>
      <c r="AG189" s="12">
        <f>SUM(AB189:AF189)</f>
      </c>
      <c r="AH189" s="3"/>
      <c r="AI189" s="3"/>
      <c r="AJ189" s="3"/>
      <c r="AK189" s="3"/>
      <c r="AL189" s="3"/>
      <c r="AO189" s="3" t="s">
        <v>901</v>
      </c>
      <c r="AP189" s="6">
        <f>Q189</f>
      </c>
    </row>
    <row r="190" ht="18" customHeight="1" spans="1:42" x14ac:dyDescent="0.25">
      <c r="A190" s="14" t="s">
        <v>38</v>
      </c>
      <c r="B190" s="14" t="s">
        <v>39</v>
      </c>
      <c r="C190" s="14" t="s">
        <v>40</v>
      </c>
      <c r="D190" s="14" t="s">
        <v>992</v>
      </c>
      <c r="E190" s="14" t="s">
        <v>123</v>
      </c>
      <c r="F190" s="14" t="s">
        <v>993</v>
      </c>
      <c r="G190" s="14" t="s">
        <v>47</v>
      </c>
      <c r="H190" s="14" t="s">
        <v>994</v>
      </c>
      <c r="I190" s="14" t="s">
        <v>726</v>
      </c>
      <c r="J190" s="14" t="s">
        <v>816</v>
      </c>
      <c r="K190" s="15" t="s">
        <v>79</v>
      </c>
      <c r="L190" s="15" t="s">
        <v>67</v>
      </c>
      <c r="M190" s="15" t="s">
        <v>995</v>
      </c>
      <c r="N190" s="14" t="s">
        <v>67</v>
      </c>
      <c r="O190" s="7">
        <v>52804</v>
      </c>
      <c r="P190" s="7">
        <v>52839</v>
      </c>
      <c r="Q190" s="7">
        <f>P190-O190</f>
      </c>
      <c r="R190" s="7">
        <v>0</v>
      </c>
      <c r="S190" s="7">
        <f>IF(Q190-R190&lt;0,"0",Q190-R190)</f>
      </c>
      <c r="T190" s="7">
        <v>0</v>
      </c>
      <c r="U190" s="16">
        <v>46182.16666666667</v>
      </c>
      <c r="V190" s="16">
        <v>46182.48645833333</v>
      </c>
      <c r="W190" s="10">
        <f>V190-U190</f>
      </c>
      <c r="X190" s="10">
        <v>0</v>
      </c>
      <c r="Y190" s="10">
        <f>IF(W190-X190&lt;0,"00:00:00",W190-X190)</f>
      </c>
      <c r="Z190" s="11">
        <v>0</v>
      </c>
      <c r="AA190" s="11">
        <v>0</v>
      </c>
      <c r="AB190" s="11">
        <f>Y190*Z190*24</f>
      </c>
      <c r="AC190" s="11">
        <f>S190*AA190</f>
      </c>
      <c r="AD190" s="11">
        <f>T190*AA190</f>
      </c>
      <c r="AE190" s="11">
        <v>0</v>
      </c>
      <c r="AF190" s="11">
        <v>4.9</v>
      </c>
      <c r="AG190" s="11">
        <f>SUM(AB190:AF190)</f>
      </c>
      <c r="AH190" s="14"/>
      <c r="AI190" s="14"/>
      <c r="AJ190" s="14"/>
      <c r="AK190" s="14"/>
      <c r="AL190" s="14"/>
      <c r="AM190" s="17"/>
      <c r="AN190" s="17"/>
      <c r="AO190" s="14" t="s">
        <v>47</v>
      </c>
      <c r="AP190" s="7">
        <f>Q190</f>
      </c>
    </row>
    <row r="191" ht="18" customHeight="1" spans="1:42" x14ac:dyDescent="0.25">
      <c r="A191" s="14" t="s">
        <v>38</v>
      </c>
      <c r="B191" s="14" t="s">
        <v>39</v>
      </c>
      <c r="C191" s="14" t="s">
        <v>40</v>
      </c>
      <c r="D191" s="14" t="s">
        <v>996</v>
      </c>
      <c r="E191" s="14" t="s">
        <v>619</v>
      </c>
      <c r="F191" s="14" t="s">
        <v>997</v>
      </c>
      <c r="G191" s="14" t="s">
        <v>47</v>
      </c>
      <c r="H191" s="14" t="s">
        <v>998</v>
      </c>
      <c r="I191" s="14" t="s">
        <v>788</v>
      </c>
      <c r="J191" s="14" t="s">
        <v>999</v>
      </c>
      <c r="K191" s="15" t="s">
        <v>1000</v>
      </c>
      <c r="L191" s="15" t="s">
        <v>67</v>
      </c>
      <c r="M191" s="15" t="s">
        <v>1001</v>
      </c>
      <c r="N191" s="14" t="s">
        <v>250</v>
      </c>
      <c r="O191" s="7">
        <v>159994</v>
      </c>
      <c r="P191" s="7">
        <v>159994</v>
      </c>
      <c r="Q191" s="7">
        <f>P191-O191</f>
      </c>
      <c r="R191" s="7">
        <v>0</v>
      </c>
      <c r="S191" s="7">
        <f>IF(Q191-R191&lt;0,"0",Q191-R191)</f>
      </c>
      <c r="T191" s="7">
        <v>0</v>
      </c>
      <c r="U191" s="16">
        <v>46182.54166666667</v>
      </c>
      <c r="V191" s="16">
        <v>46182.54166666667</v>
      </c>
      <c r="W191" s="10">
        <f>V191-U191</f>
      </c>
      <c r="X191" s="10">
        <v>0</v>
      </c>
      <c r="Y191" s="10">
        <f>IF(W191-X191&lt;0,"00:00:00",W191-X191)</f>
      </c>
      <c r="Z191" s="11">
        <v>0</v>
      </c>
      <c r="AA191" s="11">
        <v>0</v>
      </c>
      <c r="AB191" s="11">
        <f>Y191*Z191*24</f>
      </c>
      <c r="AC191" s="11">
        <f>S191*AA191</f>
      </c>
      <c r="AD191" s="11">
        <f>T191*AA191</f>
      </c>
      <c r="AE191" s="11">
        <v>0</v>
      </c>
      <c r="AF191" s="11">
        <v>0</v>
      </c>
      <c r="AG191" s="11">
        <f>SUM(AB191:AF191)</f>
      </c>
      <c r="AH191" s="14"/>
      <c r="AI191" s="14"/>
      <c r="AJ191" s="14"/>
      <c r="AK191" s="14"/>
      <c r="AL191" s="14"/>
      <c r="AM191" s="17"/>
      <c r="AN191" s="17"/>
      <c r="AO191" s="14" t="s">
        <v>47</v>
      </c>
      <c r="AP191" s="7">
        <f>Q191</f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2026-06-09T19:23:28Z</dcterms:created>
  <dcterms:modified xsi:type="dcterms:W3CDTF">2026-06-09T19:23:28Z</dcterms:modified>
</cp:coreProperties>
</file>