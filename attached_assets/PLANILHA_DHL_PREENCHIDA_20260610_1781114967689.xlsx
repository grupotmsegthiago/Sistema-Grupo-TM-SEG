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LTA" state="visible" r:id="rId4"/>
  </sheets>
  <calcPr calcId="171027"/>
</workbook>
</file>

<file path=xl/sharedStrings.xml><?xml version="1.0" encoding="utf-8"?>
<sst xmlns="http://schemas.openxmlformats.org/spreadsheetml/2006/main" count="1450" uniqueCount="500">
  <si>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</si>
  <si>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</si>
  <si>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</si>
  <si>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</si>
  <si>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</si>
  <si>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</si>
  <si>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</si>
  <si>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</si>
  <si>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</si>
  <si>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</si>
  <si>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</si>
  <si>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</si>
  <si>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</si>
  <si>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</si>
  <si>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</si>
  <si>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</si>
  <si>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</si>
  <si>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</si>
  <si>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</si>
  <si>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</si>
  <si>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</si>
  <si>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</si>
  <si>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</si>
  <si>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</si>
  <si>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</si>
  <si>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</si>
  <si>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</si>
  <si>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</si>
  <si>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</si>
  <si>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</si>
  <si>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</si>
  <si>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</si>
  <si>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</si>
  <si>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</si>
  <si>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</si>
  <si>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</si>
  <si>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</si>
  <si>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TABELA APLICADA</t>
  </si>
  <si>
    <t>TM SEG</t>
  </si>
  <si>
    <t>01/06/2026 à 10/06/2026</t>
  </si>
  <si>
    <t>DHL</t>
  </si>
  <si>
    <t>FINALIZADA</t>
  </si>
  <si>
    <t>GUARULHOS-CONTAGEM</t>
  </si>
  <si>
    <t>179916</t>
  </si>
  <si>
    <t>1568928</t>
  </si>
  <si>
    <t>5367</t>
  </si>
  <si>
    <t>UGL7E48</t>
  </si>
  <si>
    <t>GGJ2A55</t>
  </si>
  <si>
    <t>GUARULHOS, SP</t>
  </si>
  <si>
    <t>SP</t>
  </si>
  <si>
    <t>CONTAGEM - MG</t>
  </si>
  <si>
    <t>MG</t>
  </si>
  <si>
    <t>SUDESTE - GUARULHOS-CONTAGEM 486KM</t>
  </si>
  <si>
    <t>RAIO SP 200 KM</t>
  </si>
  <si>
    <t>179918</t>
  </si>
  <si>
    <t>1569223</t>
  </si>
  <si>
    <t>5368</t>
  </si>
  <si>
    <t>UER7D08</t>
  </si>
  <si>
    <t>EFV7A71</t>
  </si>
  <si>
    <t>JANDIRA, SP</t>
  </si>
  <si>
    <t>RAIO 300 KM — DESTINO A DEFINIR</t>
  </si>
  <si>
    <t/>
  </si>
  <si>
    <t>SUDESTE - BARUERI-CAJAMAR 100KM</t>
  </si>
  <si>
    <t>DISTRIBUIÇÃO ES</t>
  </si>
  <si>
    <t>179937</t>
  </si>
  <si>
    <t>1571144</t>
  </si>
  <si>
    <t>5373</t>
  </si>
  <si>
    <t>UFY6E51</t>
  </si>
  <si>
    <t>OVL1D03</t>
  </si>
  <si>
    <t>AEROPORTO DE VITÓRIA EURICO DE AGUIAR SALLES, TERMINAL DE CARGAS - AV. FERNANDO FERRARI, 3800 - GOIABEIRAS, VITÓRIA - ES, 29075-920</t>
  </si>
  <si>
    <t>ES</t>
  </si>
  <si>
    <t>AV. CEM, 11 - TIMS, SERRA - ES, 29161-384</t>
  </si>
  <si>
    <t>179940</t>
  </si>
  <si>
    <t>5374</t>
  </si>
  <si>
    <t>SWY6C24</t>
  </si>
  <si>
    <t>SUDESTE - CAJAMAR-BARUERI 100KM</t>
  </si>
  <si>
    <t>179989</t>
  </si>
  <si>
    <t>1570307</t>
  </si>
  <si>
    <t>5388</t>
  </si>
  <si>
    <t>QNN1F85</t>
  </si>
  <si>
    <t>OWM6A23</t>
  </si>
  <si>
    <t>AV. JÚLIA GAIOLI, 740 - ÁGUA CHATA, GUARULHOS - SP, 07251-500</t>
  </si>
  <si>
    <t>RAIO 200 KM — DESTINO A DEFINIR</t>
  </si>
  <si>
    <t>SUDESTE - RAIO SP 200KM</t>
  </si>
  <si>
    <t>DISTRIBUIÇÃO SP</t>
  </si>
  <si>
    <t>180000</t>
  </si>
  <si>
    <t>1570412</t>
  </si>
  <si>
    <t>5391</t>
  </si>
  <si>
    <t>TJC1H27</t>
  </si>
  <si>
    <t>AKG5J88</t>
  </si>
  <si>
    <t>CAJAMAR, SP</t>
  </si>
  <si>
    <t>SUDESTE - GUARULHOS-CAJAMAR 100KM</t>
  </si>
  <si>
    <t>RAIO SP 400 KM</t>
  </si>
  <si>
    <t>180015</t>
  </si>
  <si>
    <t>5397</t>
  </si>
  <si>
    <t>GFD0160</t>
  </si>
  <si>
    <t>RAIO 400 KM — DESTINO A DEFINIR</t>
  </si>
  <si>
    <t>DISTRIBUIÇÃO PE</t>
  </si>
  <si>
    <t>180026</t>
  </si>
  <si>
    <t>1571096</t>
  </si>
  <si>
    <t>5400</t>
  </si>
  <si>
    <t>SJD9H78</t>
  </si>
  <si>
    <t>PFM8764</t>
  </si>
  <si>
    <t>PRAÇA MIN. SALGADO FILHO, S/N - IMBIRIBEIRA, RECIFE - PE, 51210-902</t>
  </si>
  <si>
    <t>PE</t>
  </si>
  <si>
    <t>ROD. BR-101 SUL, CABO DE SANTO AGOSTINHO - PE</t>
  </si>
  <si>
    <t>NORDESTE - DISTRIBUIÇÃO PE 100KM</t>
  </si>
  <si>
    <t>RAIO MG 400 KM</t>
  </si>
  <si>
    <t>180035</t>
  </si>
  <si>
    <t>5402</t>
  </si>
  <si>
    <t>GBV3G71</t>
  </si>
  <si>
    <t>RTM3A12</t>
  </si>
  <si>
    <t>ROD. FERNÃO DIAS - EXTREMA, MG</t>
  </si>
  <si>
    <t>R. PEDROSO ALVARENGA - ITAIM BIBI, SÃO PAULO - SP</t>
  </si>
  <si>
    <t>GUARULHOS-SERRA</t>
  </si>
  <si>
    <t>180039</t>
  </si>
  <si>
    <t>5405</t>
  </si>
  <si>
    <t>UDE1G87</t>
  </si>
  <si>
    <t>GGC0E46</t>
  </si>
  <si>
    <t>R. GERALDO DEL PUPO, 502 - CIVIT II, SERRA - ES, 29168-074</t>
  </si>
  <si>
    <t>SUDESTE - GUARULHOS-SERRA 758KM</t>
  </si>
  <si>
    <t>180045</t>
  </si>
  <si>
    <t>1571262,1571262</t>
  </si>
  <si>
    <t>5408</t>
  </si>
  <si>
    <t>SVT9J98</t>
  </si>
  <si>
    <t>180046</t>
  </si>
  <si>
    <t>5406</t>
  </si>
  <si>
    <t>FXC4E85</t>
  </si>
  <si>
    <t>180051</t>
  </si>
  <si>
    <t>5407</t>
  </si>
  <si>
    <t>FCH9H26</t>
  </si>
  <si>
    <t>UEQ9H16</t>
  </si>
  <si>
    <t>BARUERI-JABOATAO DOS GUARARAPES</t>
  </si>
  <si>
    <t>180054</t>
  </si>
  <si>
    <t>5414</t>
  </si>
  <si>
    <t>KXW4B74</t>
  </si>
  <si>
    <t>BR-101 - JARDIM JORDÃO, JABOATÃO DOS GUARARAPES - PE</t>
  </si>
  <si>
    <t>SUDESTE - EXTREMA-CABEDELO 2650KM</t>
  </si>
  <si>
    <t>180084</t>
  </si>
  <si>
    <t>5435</t>
  </si>
  <si>
    <t>UDN9C89</t>
  </si>
  <si>
    <t>FPA7D92</t>
  </si>
  <si>
    <t>PRAÇA ANTÔNIO TELES, 12 - CENTRO, SANTOS - SP, 11013-020</t>
  </si>
  <si>
    <t>180087</t>
  </si>
  <si>
    <t>5439</t>
  </si>
  <si>
    <t>TXW5H50</t>
  </si>
  <si>
    <t>EQU8950</t>
  </si>
  <si>
    <t>PISO LAZER - QUIOSQUE BLINK LAB - AV. ROQUE PETRONI JÚNIOR, 1089 - VILA GERTRUDES, SÃO PAULO - SP, 04707-900</t>
  </si>
  <si>
    <t>ESTR. DOS ALPES, 320 - JARDIM ITAQUITI, BARUERI - SP, 06423-080</t>
  </si>
  <si>
    <t>HORTOLÂNDIA-BARUERI</t>
  </si>
  <si>
    <t>180090</t>
  </si>
  <si>
    <t>5425</t>
  </si>
  <si>
    <t>EHH9B54</t>
  </si>
  <si>
    <t>AV. DA EMANCIPAÇÃO, 5000 - PARQUE DOS PINHEIROS, HORTOLÂNDIA - SP, 13184-654</t>
  </si>
  <si>
    <t>SUDESTE - HORTOLÂNDIA-BARUERI 100KM</t>
  </si>
  <si>
    <t>RAIO ES 200 KM</t>
  </si>
  <si>
    <t>180100</t>
  </si>
  <si>
    <t>5426</t>
  </si>
  <si>
    <t>QVD9A57</t>
  </si>
  <si>
    <t>OBH7D48</t>
  </si>
  <si>
    <t>AV. CIVIT - CARAPINA, SERRA - ES</t>
  </si>
  <si>
    <t>SUDESTE - CAJAMAR-RIO DE JANEIRO 200KM</t>
  </si>
  <si>
    <t>RAIO GO 300 KM</t>
  </si>
  <si>
    <t>180108</t>
  </si>
  <si>
    <t>5441</t>
  </si>
  <si>
    <t>QOV8H20</t>
  </si>
  <si>
    <t>FYY8867</t>
  </si>
  <si>
    <t>AV. NORBERTO JOSÉ TEIXEIRA - APARECIDA DE GOIÂNIA, GO</t>
  </si>
  <si>
    <t>GO</t>
  </si>
  <si>
    <t>CENTRO-OESTE - RAIO DF 300KM</t>
  </si>
  <si>
    <t>DISTRIBUIÇÃO RJ</t>
  </si>
  <si>
    <t>180112</t>
  </si>
  <si>
    <t>5442</t>
  </si>
  <si>
    <t>RVK6J15</t>
  </si>
  <si>
    <t>KVT8400</t>
  </si>
  <si>
    <t>R. FRANCISCO DE SOUZA E MELO, 1590 - CORDOVIL, RIO DE JANEIRO - RJ, 21010-410</t>
  </si>
  <si>
    <t>RJ</t>
  </si>
  <si>
    <t>R. PARAPEUNA, 1351 - VILA MARIA HELENA, DUQUE DE CAXIAS - RJ, 25251-280</t>
  </si>
  <si>
    <t>SUDESTE - 100KM</t>
  </si>
  <si>
    <t>DISTRIBUIÇÃO DF</t>
  </si>
  <si>
    <t>180122</t>
  </si>
  <si>
    <t>5443</t>
  </si>
  <si>
    <t>PRC7D19</t>
  </si>
  <si>
    <t>UIZ4B66</t>
  </si>
  <si>
    <t>LAGO SUL, BRASÍLIA - DF, 71608-900</t>
  </si>
  <si>
    <t>DF</t>
  </si>
  <si>
    <t>ONCO PROD - TR STRC TRECHO - 0 - ZONA INDUSTRIAL - BRASILIA - DF</t>
  </si>
  <si>
    <t>CENTRO-OESTE - 100KM</t>
  </si>
  <si>
    <t>180134</t>
  </si>
  <si>
    <t>5444</t>
  </si>
  <si>
    <t>PUT7E81</t>
  </si>
  <si>
    <t>ONCO PROD DISTRIBUIDORA DE PRODUTOS - CAJAMAR - AC SUL - 503 - EMPRESARIAL MIRANTE - CAJAMAR - SP</t>
  </si>
  <si>
    <t>RAIO MG 200 KM</t>
  </si>
  <si>
    <t>180169</t>
  </si>
  <si>
    <t>5451</t>
  </si>
  <si>
    <t>SYR0J20</t>
  </si>
  <si>
    <t>AYN0B15</t>
  </si>
  <si>
    <t>820, ROD. FERNÃO DIAS, S/N - ALIANCA, SÃO SEBASTIÃO DA BELA VISTA - MG, 37418-760</t>
  </si>
  <si>
    <t>CANCELAMENTO SOLICITADO</t>
  </si>
  <si>
    <t>RAIO GO 200 KM</t>
  </si>
  <si>
    <t>180189</t>
  </si>
  <si>
    <t>5452</t>
  </si>
  <si>
    <t>FCB9D58</t>
  </si>
  <si>
    <t>CENTRO-OESTE - RAIO DF 200KM</t>
  </si>
  <si>
    <t>GUARULHOS-SOCORRO</t>
  </si>
  <si>
    <t>180190</t>
  </si>
  <si>
    <t>5453</t>
  </si>
  <si>
    <t>UGB6J68</t>
  </si>
  <si>
    <t>ESU7B96</t>
  </si>
  <si>
    <t>180192</t>
  </si>
  <si>
    <t>5454</t>
  </si>
  <si>
    <t>RWM0D25</t>
  </si>
  <si>
    <t>RYD1B96</t>
  </si>
  <si>
    <t>180200</t>
  </si>
  <si>
    <t>5455</t>
  </si>
  <si>
    <t>ELQ2B98</t>
  </si>
  <si>
    <t>180207</t>
  </si>
  <si>
    <t>5456</t>
  </si>
  <si>
    <t>TMH5I14</t>
  </si>
  <si>
    <t>HKW5H78</t>
  </si>
  <si>
    <t>R. 4E - CIVIT II, SERRA - ES, 29168-082</t>
  </si>
  <si>
    <t>180208</t>
  </si>
  <si>
    <t>5457</t>
  </si>
  <si>
    <t>EPU5C86</t>
  </si>
  <si>
    <t>180216</t>
  </si>
  <si>
    <t>5459</t>
  </si>
  <si>
    <t>SIY7J70</t>
  </si>
  <si>
    <t>DPE3E09</t>
  </si>
  <si>
    <t>180219</t>
  </si>
  <si>
    <t>5466</t>
  </si>
  <si>
    <t>HNN5D96</t>
  </si>
  <si>
    <t>RAIO ES 300 KM</t>
  </si>
  <si>
    <t>180222</t>
  </si>
  <si>
    <t>5467</t>
  </si>
  <si>
    <t>EON1H40</t>
  </si>
  <si>
    <t>ODF2J78</t>
  </si>
  <si>
    <t>180223</t>
  </si>
  <si>
    <t>5468</t>
  </si>
  <si>
    <t>QQD2E34</t>
  </si>
  <si>
    <t>SUDESTE - RAIO ES 300KM</t>
  </si>
  <si>
    <t>180227</t>
  </si>
  <si>
    <t>5469</t>
  </si>
  <si>
    <t>PZB2F58</t>
  </si>
  <si>
    <t>DTD3462</t>
  </si>
  <si>
    <t>180228</t>
  </si>
  <si>
    <t>5470</t>
  </si>
  <si>
    <t>180234</t>
  </si>
  <si>
    <t>5471</t>
  </si>
  <si>
    <t>UEQ8E98</t>
  </si>
  <si>
    <t>CUD6061</t>
  </si>
  <si>
    <t>ESTRADA DOS ALPES, 320 - RESIDENCIAL MORADA DOS LAGOS, JANDIRA - SP, 01250-000</t>
  </si>
  <si>
    <t>DISTRIBUIÇÃO GO</t>
  </si>
  <si>
    <t>180236</t>
  </si>
  <si>
    <t>5472</t>
  </si>
  <si>
    <t>OKY2J35</t>
  </si>
  <si>
    <t>R. TODICA, 2-346 - SÍTIO DE RECREIO IPÊ, GOIÂNIA - GO, 74594-111</t>
  </si>
  <si>
    <t>R. PORTO NACIONAL, 265 - JARDIM GUANABARA, GOIÂNIA - GO, 74675-690</t>
  </si>
  <si>
    <t>CENTRO-OESTE - DISTRIBUIÇÃO DF 100KM</t>
  </si>
  <si>
    <t>180274</t>
  </si>
  <si>
    <t>5494</t>
  </si>
  <si>
    <t>PBM7A22</t>
  </si>
  <si>
    <t>ELQ7J38</t>
  </si>
  <si>
    <t>VIELA VP-5E - DISTRITO AGRO-INDUSTRIAL DE ANÁPOLIS (D A I A), ANÁPOLIS - GO</t>
  </si>
  <si>
    <t>APARECIDA DE GOIÂNIA, GO</t>
  </si>
  <si>
    <t>CENTRO-OESTE - DISTRIBUIÇÃO GO 100KM</t>
  </si>
  <si>
    <t>180275</t>
  </si>
  <si>
    <t>5493</t>
  </si>
  <si>
    <t>180283</t>
  </si>
  <si>
    <t>5495</t>
  </si>
  <si>
    <t>UDW3H68</t>
  </si>
  <si>
    <t>FEW4F72</t>
  </si>
  <si>
    <t>ROD. SANTOS DUMONT, 66 - JARDIM PRINCESA D'OESTE, CAMPINAS - SP, 13024-020</t>
  </si>
  <si>
    <t>RAIO 100 KM — DESTINO A DEFINIR</t>
  </si>
  <si>
    <t>180298</t>
  </si>
  <si>
    <t>5482</t>
  </si>
  <si>
    <t>TEE3H27</t>
  </si>
  <si>
    <t>DVT6B75</t>
  </si>
  <si>
    <t>EXTREMA, MG, 37640-000</t>
  </si>
  <si>
    <t>180304</t>
  </si>
  <si>
    <t>5485</t>
  </si>
  <si>
    <t>UFQ6F68</t>
  </si>
  <si>
    <t>IRZ2J97</t>
  </si>
  <si>
    <t>RAIO 500 KM — DESTINO A DEFINIR</t>
  </si>
  <si>
    <t>180308</t>
  </si>
  <si>
    <t>5486</t>
  </si>
  <si>
    <t>RTC6J09</t>
  </si>
  <si>
    <t>FLT2G14</t>
  </si>
  <si>
    <t>R. PANAMBI, 191 - CIDADE INDUSTRIAL SATÉLITE DE SÃO PAULO, GUARULHOS - SP, 07224-130</t>
  </si>
  <si>
    <t>AV. WASHINGTON LUÍS, S/N - VILA CONGONHAS, SÃO PAULO - SP, 04627-006</t>
  </si>
  <si>
    <t>180333</t>
  </si>
  <si>
    <t>5488</t>
  </si>
  <si>
    <t>RWL5A26</t>
  </si>
  <si>
    <t>OYF2E65</t>
  </si>
  <si>
    <t>AEROPORTO, VITÓRIA - ES, 29075-920, BRASIL</t>
  </si>
  <si>
    <t>180349</t>
  </si>
  <si>
    <t>5509</t>
  </si>
  <si>
    <t>MRR5J55</t>
  </si>
  <si>
    <t>180354</t>
  </si>
  <si>
    <t>5507</t>
  </si>
  <si>
    <t>UDE1E99</t>
  </si>
  <si>
    <t>UDW0I06</t>
  </si>
  <si>
    <t>ROD. CEL. PM NELSON TRANCHESI, 1730 - ITAQUI, ITAPEVI - SP, 06696-110</t>
  </si>
  <si>
    <t>SUDESTE - ITAPEVI-CAJAMAR 100KM</t>
  </si>
  <si>
    <t>ITAPEVI-GUARULHOS</t>
  </si>
  <si>
    <t>180356</t>
  </si>
  <si>
    <t>5508</t>
  </si>
  <si>
    <t>GEU8A95</t>
  </si>
  <si>
    <t>ROD. PRES. CASTELLO BRANCO - INGAHI, ITAPEVI - SP</t>
  </si>
  <si>
    <t>SUDESTE - ITAPEVI-GUARULHOS 100KM</t>
  </si>
  <si>
    <t>180357</t>
  </si>
  <si>
    <t>5506</t>
  </si>
  <si>
    <t>FSD0862</t>
  </si>
  <si>
    <t>ROD. FERNÃO DIAS, KM 942 - EXTREMA, MG, 37418-760</t>
  </si>
  <si>
    <t>SUDESTE - BARUERI-EXTREMA 137KM</t>
  </si>
  <si>
    <t>180365</t>
  </si>
  <si>
    <t>5512</t>
  </si>
  <si>
    <t>UDD1C04</t>
  </si>
  <si>
    <t>KPK4C12</t>
  </si>
  <si>
    <t>180366</t>
  </si>
  <si>
    <t>5511</t>
  </si>
  <si>
    <t>EDU9459</t>
  </si>
  <si>
    <t>STE2D67</t>
  </si>
  <si>
    <t>180373</t>
  </si>
  <si>
    <t>5514</t>
  </si>
  <si>
    <t>SUDESTE - ITAPEVI-COTIA 34KM</t>
  </si>
  <si>
    <t>180383</t>
  </si>
  <si>
    <t>5525</t>
  </si>
  <si>
    <t>TXW5H41</t>
  </si>
  <si>
    <t>GIQ7H09</t>
  </si>
  <si>
    <t>AV. MORUMBI, 8264 - BROOKLIN, SÃO PAULO - SP, 04703-002</t>
  </si>
  <si>
    <t>JUNDIAI-SÃO PAULO</t>
  </si>
  <si>
    <t>180385</t>
  </si>
  <si>
    <t>5517</t>
  </si>
  <si>
    <t>UPQ3G99</t>
  </si>
  <si>
    <t>FCS0A52</t>
  </si>
  <si>
    <t>ROD. VICE PREF. HERMENEGILDO TONOLI, 1500 - AGLOMERAÇÃO URBANA DE JUNDIAÍ, JUNDIAÍ - SP, 13213-086</t>
  </si>
  <si>
    <t>ANÁPOLIS-BRASILIA</t>
  </si>
  <si>
    <t>180416</t>
  </si>
  <si>
    <t>5535</t>
  </si>
  <si>
    <t>LBZ7D73</t>
  </si>
  <si>
    <t>180422</t>
  </si>
  <si>
    <t>5547</t>
  </si>
  <si>
    <t>ELP4A82</t>
  </si>
  <si>
    <t>180425</t>
  </si>
  <si>
    <t>5529</t>
  </si>
  <si>
    <t>SYT2D35</t>
  </si>
  <si>
    <t>EFV4F12</t>
  </si>
  <si>
    <t>180426</t>
  </si>
  <si>
    <t>5530</t>
  </si>
  <si>
    <t>GDR8G97</t>
  </si>
  <si>
    <t>CENTRO-OESTE - RAIO GO 200KM</t>
  </si>
  <si>
    <t>EM VIAGEM</t>
  </si>
  <si>
    <t>BARUERI-CUIABA</t>
  </si>
  <si>
    <t>180440</t>
  </si>
  <si>
    <t>5538</t>
  </si>
  <si>
    <t>R. JÚLIO DOMINGOS DE CAMPOS "SEO FIOTE", CEP 78.049-902 - CENTRO POLÍTICO ADMINISTRATIVO, CUIABÁ - MT, 78050-970</t>
  </si>
  <si>
    <t>MT</t>
  </si>
  <si>
    <t>180441</t>
  </si>
  <si>
    <t>5536</t>
  </si>
  <si>
    <t>TXW5H44</t>
  </si>
  <si>
    <t>ROD. HÉLIO SMIDT, S/Nº - AEROPORTO, GUARULHOS - SP, 07190-100</t>
  </si>
  <si>
    <t>180442</t>
  </si>
  <si>
    <t>5541</t>
  </si>
  <si>
    <t>QOT6013</t>
  </si>
  <si>
    <t>UDZ1E28</t>
  </si>
  <si>
    <t>ROD. HÉLIO SMIDT, S/N - SETOR 3 - TERMINAL COURIER, GUARULHOS - SP, 07190-100</t>
  </si>
  <si>
    <t>180443</t>
  </si>
  <si>
    <t>5542</t>
  </si>
  <si>
    <t>TEE3G85</t>
  </si>
  <si>
    <t>ROD. HÉLIO SMIDT, S/Nº - CUMBICA, GUARULHOS - SP, 07140</t>
  </si>
  <si>
    <t>CHEGADA NO CLIENTE</t>
  </si>
  <si>
    <t>180451</t>
  </si>
  <si>
    <t>5537</t>
  </si>
  <si>
    <t>TXW5H52</t>
  </si>
  <si>
    <t>ELV0700</t>
  </si>
  <si>
    <t>SERRA, ES</t>
  </si>
  <si>
    <t>180458</t>
  </si>
  <si>
    <t>5543</t>
  </si>
  <si>
    <t>TCH8H54</t>
  </si>
  <si>
    <t>BZH3F37</t>
  </si>
  <si>
    <t>RAIA DROGASIL S/A HIDROLANDIA - BR-153 - 45 - ZONA DE EXPANSAO EMPRESARIA - HIDROLANDIA - GO</t>
  </si>
  <si>
    <t>180459</t>
  </si>
  <si>
    <t>5539</t>
  </si>
  <si>
    <t>AV. ROQUE PETRONI JÚNIOR, 1089 - VILA GERTRUDES, SÃO PAULO - SP, 04707-900</t>
  </si>
  <si>
    <t>GUARULHOS-BRASILIA</t>
  </si>
  <si>
    <t>180477</t>
  </si>
  <si>
    <t>5551</t>
  </si>
  <si>
    <t>KPI7A83</t>
  </si>
  <si>
    <t>ESTR. ÁGUA CHATA, 740 - ÁGUA CHATA, GUARULHOS - SP, 07251-000</t>
  </si>
  <si>
    <t>DF-290, 3615 - SANTA MARIA, BRASÍLIA - DF, 72578-000</t>
  </si>
  <si>
    <t>180492</t>
  </si>
  <si>
    <t>5557</t>
  </si>
  <si>
    <t>SYT2C13</t>
  </si>
  <si>
    <t>AV. JOÃO RODOLFO DE OLIVEIRA - APARECIDA DE GOIÂNIA, GO, 74986-470</t>
  </si>
  <si>
    <t>180513</t>
  </si>
  <si>
    <t>5585</t>
  </si>
  <si>
    <t>EBF3H89</t>
  </si>
  <si>
    <t>ELOG EADI LIBRAPORT - CAMPINAS/SP - R. OSVALDO BLUM - 198 - PARQUE VIA NORTE - CAMPINAS - SP</t>
  </si>
  <si>
    <t>ORIGEM RN</t>
  </si>
  <si>
    <t>180519</t>
  </si>
  <si>
    <t>5587</t>
  </si>
  <si>
    <t>TMQ1B81</t>
  </si>
  <si>
    <t>SOL3J30</t>
  </si>
  <si>
    <t>R. PRES. QUARESMA - ALECRIM, NATAL - RN, 59031-150</t>
  </si>
  <si>
    <t>RN</t>
  </si>
  <si>
    <t>CM HOSPITALAR - SÃO GONÇALO DO AMARANTE/RN - AVENIDA RUY PEREIRA DOS SANTOS - 12 - JARDINS - SÃO GONÇALO DO AMARANTE - RN</t>
  </si>
  <si>
    <t>NORDESTE - DISTRIBUIÇÃO BA 100KM</t>
  </si>
  <si>
    <t>180536</t>
  </si>
  <si>
    <t>5571</t>
  </si>
  <si>
    <t>UEB7H08</t>
  </si>
  <si>
    <t>180537</t>
  </si>
  <si>
    <t>5595</t>
  </si>
  <si>
    <t>180539</t>
  </si>
  <si>
    <t>5573</t>
  </si>
  <si>
    <t>RGCOB96</t>
  </si>
  <si>
    <t>TLX7E86</t>
  </si>
  <si>
    <t>180540</t>
  </si>
  <si>
    <t>5574</t>
  </si>
  <si>
    <t>RTC6J06</t>
  </si>
  <si>
    <t>180541</t>
  </si>
  <si>
    <t>5575</t>
  </si>
  <si>
    <t>TXW5H57</t>
  </si>
  <si>
    <t>180542</t>
  </si>
  <si>
    <t>5584</t>
  </si>
  <si>
    <t>ANM7240</t>
  </si>
  <si>
    <t>ESTR. DA CRUZ GRANDE, 1700 - RES. BURCK, LOUVEIRA - SP, 13290-000</t>
  </si>
  <si>
    <t>180543</t>
  </si>
  <si>
    <t>5576</t>
  </si>
  <si>
    <t>EZX5896</t>
  </si>
  <si>
    <t>KZK1E42</t>
  </si>
  <si>
    <t>180544</t>
  </si>
  <si>
    <t>5577</t>
  </si>
  <si>
    <t>RFL3F47</t>
  </si>
  <si>
    <t>180545</t>
  </si>
  <si>
    <t>5578</t>
  </si>
  <si>
    <t>TXW5H36</t>
  </si>
  <si>
    <t>180555</t>
  </si>
  <si>
    <t>5579</t>
  </si>
  <si>
    <t>EMA3J41</t>
  </si>
  <si>
    <t>R. SAMUEL MEIRA BRASIL, 394 - TAQUARA II, SERRA - ES, 29167</t>
  </si>
  <si>
    <t>180556</t>
  </si>
  <si>
    <t>5580</t>
  </si>
  <si>
    <t>PXX8662</t>
  </si>
  <si>
    <t>180558</t>
  </si>
  <si>
    <t>5581</t>
  </si>
  <si>
    <t>SHI3B20</t>
  </si>
  <si>
    <t>EKH7I85</t>
  </si>
  <si>
    <t>180559</t>
  </si>
  <si>
    <t>5582</t>
  </si>
  <si>
    <t>HBZ3J40</t>
  </si>
  <si>
    <t>180565</t>
  </si>
  <si>
    <t>5583</t>
  </si>
  <si>
    <t>AKG8A55</t>
  </si>
  <si>
    <t>RUA JAMIL JOÃO ZARIF, 684 - MODULO 18 - JARDIM SANTA VICENCIA, GUARULHOS - SP, 07143-000</t>
  </si>
  <si>
    <t>180582</t>
  </si>
  <si>
    <t>5586</t>
  </si>
  <si>
    <t>FSR0J67</t>
  </si>
  <si>
    <t>180598</t>
  </si>
  <si>
    <t>5591</t>
  </si>
  <si>
    <t>RTU6I49</t>
  </si>
  <si>
    <t>R. IONEJI MATSUBAYASHI - COLÔNIA (ZONA LESTE), SÃO PAULO - SP</t>
  </si>
  <si>
    <t>DISTRIBUIÇÃO RS</t>
  </si>
  <si>
    <t>180617</t>
  </si>
  <si>
    <t>5599</t>
  </si>
  <si>
    <t>RNL8C24</t>
  </si>
  <si>
    <t>AV. SEVERO DULLIUS, 90.010 - ANCHIETA, PORTO ALEGRE - RS, 90200-310</t>
  </si>
  <si>
    <t>RS</t>
  </si>
  <si>
    <t>SHOPPING TOTAL - AV. CRISTÓVÃO COLOMBO, 545 - PRÉDIO 3 - FLORESTA, PORTO ALEGRE - RS, 90560-000</t>
  </si>
  <si>
    <t>EM DESLOCAMENTO</t>
  </si>
  <si>
    <t>180622</t>
  </si>
  <si>
    <t>5600</t>
  </si>
  <si>
    <t>QSP5J12</t>
  </si>
  <si>
    <t>180627</t>
  </si>
  <si>
    <t>5602</t>
  </si>
  <si>
    <t>SUDESTE - RAIO ES 400KM</t>
  </si>
  <si>
    <t>180628</t>
  </si>
  <si>
    <t>5603</t>
  </si>
  <si>
    <t>AG. INICIO</t>
  </si>
  <si>
    <t>180631</t>
  </si>
  <si>
    <t>5606</t>
  </si>
  <si>
    <t>JARDIM PRINCESA D'OESTE, CAMPINAS - SP, 13055, BRASIL</t>
  </si>
  <si>
    <t>SÃO PAULO, SP</t>
  </si>
  <si>
    <t>INFO. PENDENTE</t>
  </si>
  <si>
    <t>APARECIDA DE GOIÂNIA-SÃO PAULO</t>
  </si>
  <si>
    <t>180637</t>
  </si>
  <si>
    <t>5613</t>
  </si>
  <si>
    <t>Av. Norberto José Teixeira - Aparecida de Goiânia, GO</t>
  </si>
  <si>
    <t>Av. Dr. Enéas Carvalho de Aguiar, 188 - Cerqueira César, São Paulo - SP, 05403-000</t>
  </si>
  <si>
    <t>180638</t>
  </si>
  <si>
    <t>5612</t>
  </si>
  <si>
    <t>APARECIDA DE GOIÂNIA-GUARULHOS</t>
  </si>
  <si>
    <t>180641</t>
  </si>
  <si>
    <t>5611</t>
  </si>
  <si>
    <t>Rua Jamil João Zarif, 684 - Modulo 18 - Jardim Santa Vicencia, Guarulhos - SP, 07143-000</t>
  </si>
  <si>
    <t>180642</t>
  </si>
  <si>
    <t>5610</t>
  </si>
  <si>
    <t>RAIO MG 300 KM</t>
  </si>
  <si>
    <t>180647</t>
  </si>
  <si>
    <t>5614</t>
  </si>
  <si>
    <t>ESTR. MUN. LUIZ LOPES NETO - EXTREMA, MG, 37640-000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</si>
</sst>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R$ #,##0.00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b/>
      <color rgb="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DDEBF7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  <xf numFmtId="4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8" customWidth="1"/>
    <col min="6" max="6" width="12" customWidth="1"/>
    <col min="7" max="7" width="14" customWidth="1"/>
    <col min="8" max="8" width="10" customWidth="1"/>
    <col min="9" max="10" width="14" customWidth="1"/>
    <col min="11" max="11" width="28" customWidth="1"/>
    <col min="13" max="13" width="28" customWidth="1"/>
    <col min="15" max="18" width="11" customWidth="1"/>
    <col min="19" max="19" width="12" customWidth="1"/>
    <col min="20" max="20" width="13" customWidth="1"/>
    <col min="21" max="22" width="18" customWidth="1"/>
    <col min="23" max="23" width="12" customWidth="1"/>
    <col min="24" max="24" width="11" customWidth="1"/>
    <col min="25" max="25" width="12" customWidth="1"/>
    <col min="26" max="30" width="14" customWidth="1"/>
    <col min="31" max="31" width="16" customWidth="1"/>
    <col min="32" max="32" width="12" customWidth="1"/>
    <col min="33" max="33" width="14" customWidth="1"/>
    <col min="34" max="35" width="12" customWidth="1"/>
    <col min="36" max="37" width="14" customWidth="1"/>
    <col min="38" max="38" width="12" customWidth="1"/>
    <col min="41" max="41" width="32" customWidth="1"/>
    <col min="42" max="42" width="11" customWidth="1"/>
  </cols>
  <sheetData>
    <row r="1" ht="30" customHeight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</v>
      </c>
      <c r="AK1" s="1" t="s">
        <v>35</v>
      </c>
      <c r="AL1" s="1" t="s">
        <v>36</v>
      </c>
      <c r="AO1" s="1" t="s">
        <v>37</v>
      </c>
      <c r="AP1" s="1" t="s">
        <v>16</v>
      </c>
    </row>
    <row r="2" ht="18" customHeight="1" spans="1:42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4" t="s">
        <v>48</v>
      </c>
      <c r="L2" s="4" t="s">
        <v>49</v>
      </c>
      <c r="M2" s="4" t="s">
        <v>50</v>
      </c>
      <c r="N2" s="3" t="s">
        <v>51</v>
      </c>
      <c r="O2" s="5">
        <v>6757</v>
      </c>
      <c r="P2" s="5">
        <v>7345</v>
      </c>
      <c r="Q2" s="5">
        <f>P2-O2</f>
      </c>
      <c r="R2" s="6">
        <v>486</v>
      </c>
      <c r="S2" s="5">
        <f>IF(Q2-R2&lt;0,"0",Q2-R2)</f>
      </c>
      <c r="T2" s="5">
        <v>0</v>
      </c>
      <c r="U2" s="7">
        <v>46174.5</v>
      </c>
      <c r="V2" s="7">
        <v>46175.43350694445</v>
      </c>
      <c r="W2" s="8">
        <f>V2-U2</f>
      </c>
      <c r="X2" s="9">
        <v>1</v>
      </c>
      <c r="Y2" s="8">
        <f>IF(W2-X2&lt;0,"00:00:00",W2-X2)</f>
      </c>
      <c r="Z2" s="10">
        <v>145</v>
      </c>
      <c r="AA2" s="10">
        <v>0</v>
      </c>
      <c r="AB2" s="11">
        <f>Y2*Z2*24</f>
      </c>
      <c r="AC2" s="11">
        <f>S2*AA2</f>
      </c>
      <c r="AD2" s="11">
        <f>T2*AA2</f>
      </c>
      <c r="AE2" s="10">
        <v>5071.65</v>
      </c>
      <c r="AF2" s="11">
        <v>59.2</v>
      </c>
      <c r="AG2" s="11">
        <f>SUM(AB2:AF2)</f>
      </c>
      <c r="AH2" s="3"/>
      <c r="AI2" s="3"/>
      <c r="AJ2" s="3"/>
      <c r="AK2" s="3"/>
      <c r="AL2" s="3"/>
      <c r="AO2" s="3" t="s">
        <v>52</v>
      </c>
      <c r="AP2" s="5">
        <f>Q2</f>
      </c>
    </row>
    <row r="3" ht="18" customHeight="1" spans="1:42" x14ac:dyDescent="0.25">
      <c r="A3" s="3" t="s">
        <v>38</v>
      </c>
      <c r="B3" s="3" t="s">
        <v>39</v>
      </c>
      <c r="C3" s="3" t="s">
        <v>40</v>
      </c>
      <c r="D3" s="3" t="s">
        <v>41</v>
      </c>
      <c r="E3" s="3" t="s">
        <v>53</v>
      </c>
      <c r="F3" s="3" t="s">
        <v>54</v>
      </c>
      <c r="G3" s="3" t="s">
        <v>55</v>
      </c>
      <c r="H3" s="3" t="s">
        <v>56</v>
      </c>
      <c r="I3" s="3" t="s">
        <v>57</v>
      </c>
      <c r="J3" s="3" t="s">
        <v>58</v>
      </c>
      <c r="K3" s="4" t="s">
        <v>59</v>
      </c>
      <c r="L3" s="4" t="s">
        <v>49</v>
      </c>
      <c r="M3" s="4" t="s">
        <v>60</v>
      </c>
      <c r="N3" s="12" t="s">
        <v>61</v>
      </c>
      <c r="O3" s="5">
        <v>24343</v>
      </c>
      <c r="P3" s="5">
        <v>24419</v>
      </c>
      <c r="Q3" s="5">
        <f>P3-O3</f>
      </c>
      <c r="R3" s="6">
        <v>100</v>
      </c>
      <c r="S3" s="5">
        <f>IF(Q3-R3&lt;0,"0",Q3-R3)</f>
      </c>
      <c r="T3" s="5">
        <v>0</v>
      </c>
      <c r="U3" s="7">
        <v>46174.25</v>
      </c>
      <c r="V3" s="7">
        <v>46174.38878472222</v>
      </c>
      <c r="W3" s="8">
        <f>V3-U3</f>
      </c>
      <c r="X3" s="9">
        <v>0.125</v>
      </c>
      <c r="Y3" s="8">
        <f>IF(W3-X3&lt;0,"00:00:00",W3-X3)</f>
      </c>
      <c r="Z3" s="10">
        <v>145</v>
      </c>
      <c r="AA3" s="10">
        <v>0</v>
      </c>
      <c r="AB3" s="11">
        <f>Y3*Z3*24</f>
      </c>
      <c r="AC3" s="11">
        <f>S3*AA3</f>
      </c>
      <c r="AD3" s="11">
        <f>T3*AA3</f>
      </c>
      <c r="AE3" s="10">
        <v>690</v>
      </c>
      <c r="AF3" s="11">
        <v>25</v>
      </c>
      <c r="AG3" s="11">
        <f>SUM(AB3:AF3)</f>
      </c>
      <c r="AH3" s="3"/>
      <c r="AI3" s="3"/>
      <c r="AJ3" s="3"/>
      <c r="AK3" s="3"/>
      <c r="AL3" s="3"/>
      <c r="AO3" s="3" t="s">
        <v>62</v>
      </c>
      <c r="AP3" s="5">
        <f>Q3</f>
      </c>
    </row>
    <row r="4" ht="18" customHeight="1" spans="1:42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63</v>
      </c>
      <c r="F4" s="3" t="s">
        <v>64</v>
      </c>
      <c r="G4" s="3" t="s">
        <v>65</v>
      </c>
      <c r="H4" s="3" t="s">
        <v>66</v>
      </c>
      <c r="I4" s="3" t="s">
        <v>67</v>
      </c>
      <c r="J4" s="3" t="s">
        <v>68</v>
      </c>
      <c r="K4" s="4" t="s">
        <v>69</v>
      </c>
      <c r="L4" s="4" t="s">
        <v>70</v>
      </c>
      <c r="M4" s="4" t="s">
        <v>71</v>
      </c>
      <c r="N4" s="3" t="s">
        <v>70</v>
      </c>
      <c r="O4" s="5">
        <v>4989</v>
      </c>
      <c r="P4" s="5">
        <v>4997</v>
      </c>
      <c r="Q4" s="5">
        <f>P4-O4</f>
      </c>
      <c r="R4" s="6">
        <v>100</v>
      </c>
      <c r="S4" s="5">
        <f>IF(Q4-R4&lt;0,"0",Q4-R4)</f>
      </c>
      <c r="T4" s="5">
        <v>0</v>
      </c>
      <c r="U4" s="7">
        <v>46175.33333333333</v>
      </c>
      <c r="V4" s="7">
        <v>46175.41096064815</v>
      </c>
      <c r="W4" s="8">
        <f>V4-U4</f>
      </c>
      <c r="X4" s="9">
        <v>0.125</v>
      </c>
      <c r="Y4" s="8">
        <f>IF(W4-X4&lt;0,"00:00:00",W4-X4)</f>
      </c>
      <c r="Z4" s="10">
        <v>145</v>
      </c>
      <c r="AA4" s="10">
        <v>0</v>
      </c>
      <c r="AB4" s="11">
        <f>Y4*Z4*24</f>
      </c>
      <c r="AC4" s="11">
        <f>S4*AA4</f>
      </c>
      <c r="AD4" s="11">
        <f>T4*AA4</f>
      </c>
      <c r="AE4" s="10">
        <v>690</v>
      </c>
      <c r="AF4" s="11">
        <v>0</v>
      </c>
      <c r="AG4" s="11">
        <f>SUM(AB4:AF4)</f>
      </c>
      <c r="AH4" s="3"/>
      <c r="AI4" s="3"/>
      <c r="AJ4" s="3"/>
      <c r="AK4" s="3"/>
      <c r="AL4" s="3"/>
      <c r="AO4" s="3" t="s">
        <v>62</v>
      </c>
      <c r="AP4" s="5">
        <f>Q4</f>
      </c>
    </row>
    <row r="5" ht="18" customHeight="1" spans="1:42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63</v>
      </c>
      <c r="F5" s="3" t="s">
        <v>72</v>
      </c>
      <c r="G5" s="3" t="s">
        <v>65</v>
      </c>
      <c r="H5" s="3" t="s">
        <v>73</v>
      </c>
      <c r="I5" s="3" t="s">
        <v>74</v>
      </c>
      <c r="J5" s="3" t="s">
        <v>68</v>
      </c>
      <c r="K5" s="4" t="s">
        <v>69</v>
      </c>
      <c r="L5" s="4" t="s">
        <v>70</v>
      </c>
      <c r="M5" s="4" t="s">
        <v>71</v>
      </c>
      <c r="N5" s="3" t="s">
        <v>70</v>
      </c>
      <c r="O5" s="5">
        <v>30548</v>
      </c>
      <c r="P5" s="5">
        <v>30556</v>
      </c>
      <c r="Q5" s="5">
        <f>P5-O5</f>
      </c>
      <c r="R5" s="6">
        <v>100</v>
      </c>
      <c r="S5" s="5">
        <f>IF(Q5-R5&lt;0,"0",Q5-R5)</f>
      </c>
      <c r="T5" s="5">
        <v>0</v>
      </c>
      <c r="U5" s="7">
        <v>46175.33333333333</v>
      </c>
      <c r="V5" s="7">
        <v>46175.41181712963</v>
      </c>
      <c r="W5" s="8">
        <f>V5-U5</f>
      </c>
      <c r="X5" s="9">
        <v>0.125</v>
      </c>
      <c r="Y5" s="8">
        <f>IF(W5-X5&lt;0,"00:00:00",W5-X5)</f>
      </c>
      <c r="Z5" s="10">
        <v>145</v>
      </c>
      <c r="AA5" s="10">
        <v>0</v>
      </c>
      <c r="AB5" s="11">
        <f>Y5*Z5*24</f>
      </c>
      <c r="AC5" s="11">
        <f>S5*AA5</f>
      </c>
      <c r="AD5" s="11">
        <f>T5*AA5</f>
      </c>
      <c r="AE5" s="10">
        <v>690</v>
      </c>
      <c r="AF5" s="11">
        <v>0</v>
      </c>
      <c r="AG5" s="11">
        <f>SUM(AB5:AF5)</f>
      </c>
      <c r="AH5" s="3"/>
      <c r="AI5" s="3"/>
      <c r="AJ5" s="3"/>
      <c r="AK5" s="3"/>
      <c r="AL5" s="3"/>
      <c r="AO5" s="3" t="s">
        <v>75</v>
      </c>
      <c r="AP5" s="5">
        <f>Q5</f>
      </c>
    </row>
    <row r="6" ht="18" customHeight="1" spans="1:42" x14ac:dyDescent="0.25">
      <c r="A6" s="3" t="s">
        <v>38</v>
      </c>
      <c r="B6" s="3" t="s">
        <v>39</v>
      </c>
      <c r="C6" s="3" t="s">
        <v>40</v>
      </c>
      <c r="D6" s="3" t="s">
        <v>41</v>
      </c>
      <c r="E6" s="3" t="s">
        <v>53</v>
      </c>
      <c r="F6" s="3" t="s">
        <v>76</v>
      </c>
      <c r="G6" s="3" t="s">
        <v>77</v>
      </c>
      <c r="H6" s="3" t="s">
        <v>78</v>
      </c>
      <c r="I6" s="3" t="s">
        <v>79</v>
      </c>
      <c r="J6" s="3" t="s">
        <v>80</v>
      </c>
      <c r="K6" s="4" t="s">
        <v>81</v>
      </c>
      <c r="L6" s="4" t="s">
        <v>49</v>
      </c>
      <c r="M6" s="4" t="s">
        <v>82</v>
      </c>
      <c r="N6" s="12" t="s">
        <v>61</v>
      </c>
      <c r="O6" s="5">
        <v>425328</v>
      </c>
      <c r="P6" s="5">
        <v>425528</v>
      </c>
      <c r="Q6" s="5">
        <f>P6-O6</f>
      </c>
      <c r="R6" s="6">
        <v>200</v>
      </c>
      <c r="S6" s="5">
        <f>IF(Q6-R6&lt;0,"0",Q6-R6)</f>
      </c>
      <c r="T6" s="5">
        <v>0</v>
      </c>
      <c r="U6" s="7">
        <v>46174.92361111111</v>
      </c>
      <c r="V6" s="7">
        <v>46175.15950231481</v>
      </c>
      <c r="W6" s="8">
        <f>V6-U6</f>
      </c>
      <c r="X6" s="9">
        <v>0.20833333333333334</v>
      </c>
      <c r="Y6" s="8">
        <f>IF(W6-X6&lt;0,"00:00:00",W6-X6)</f>
      </c>
      <c r="Z6" s="10">
        <v>145</v>
      </c>
      <c r="AA6" s="10">
        <v>0</v>
      </c>
      <c r="AB6" s="11">
        <f>Y6*Z6*24</f>
      </c>
      <c r="AC6" s="11">
        <f>S6*AA6</f>
      </c>
      <c r="AD6" s="11">
        <f>T6*AA6</f>
      </c>
      <c r="AE6" s="10">
        <v>1380</v>
      </c>
      <c r="AF6" s="11">
        <v>35</v>
      </c>
      <c r="AG6" s="11">
        <f>SUM(AB6:AF6)</f>
      </c>
      <c r="AH6" s="3"/>
      <c r="AI6" s="3"/>
      <c r="AJ6" s="3"/>
      <c r="AK6" s="3"/>
      <c r="AL6" s="3"/>
      <c r="AO6" s="3" t="s">
        <v>83</v>
      </c>
      <c r="AP6" s="5">
        <f>Q6</f>
      </c>
    </row>
    <row r="7" ht="18" customHeight="1" spans="1:42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84</v>
      </c>
      <c r="F7" s="3" t="s">
        <v>85</v>
      </c>
      <c r="G7" s="3" t="s">
        <v>86</v>
      </c>
      <c r="H7" s="3" t="s">
        <v>87</v>
      </c>
      <c r="I7" s="3" t="s">
        <v>88</v>
      </c>
      <c r="J7" s="3" t="s">
        <v>89</v>
      </c>
      <c r="K7" s="4" t="s">
        <v>48</v>
      </c>
      <c r="L7" s="4" t="s">
        <v>49</v>
      </c>
      <c r="M7" s="4" t="s">
        <v>90</v>
      </c>
      <c r="N7" s="3" t="s">
        <v>49</v>
      </c>
      <c r="O7" s="5">
        <v>100474</v>
      </c>
      <c r="P7" s="5">
        <v>100534</v>
      </c>
      <c r="Q7" s="5">
        <f>P7-O7</f>
      </c>
      <c r="R7" s="6">
        <v>100</v>
      </c>
      <c r="S7" s="5">
        <f>IF(Q7-R7&lt;0,"0",Q7-R7)</f>
      </c>
      <c r="T7" s="5">
        <v>0</v>
      </c>
      <c r="U7" s="7">
        <v>46175.02083333333</v>
      </c>
      <c r="V7" s="7">
        <v>46175.08679398148</v>
      </c>
      <c r="W7" s="8">
        <f>V7-U7</f>
      </c>
      <c r="X7" s="9">
        <v>0.125</v>
      </c>
      <c r="Y7" s="8">
        <f>IF(W7-X7&lt;0,"00:00:00",W7-X7)</f>
      </c>
      <c r="Z7" s="10">
        <v>145</v>
      </c>
      <c r="AA7" s="10">
        <v>0</v>
      </c>
      <c r="AB7" s="11">
        <f>Y7*Z7*24</f>
      </c>
      <c r="AC7" s="11">
        <f>S7*AA7</f>
      </c>
      <c r="AD7" s="11">
        <f>T7*AA7</f>
      </c>
      <c r="AE7" s="10">
        <v>690</v>
      </c>
      <c r="AF7" s="11">
        <v>13.7</v>
      </c>
      <c r="AG7" s="11">
        <f>SUM(AB7:AF7)</f>
      </c>
      <c r="AH7" s="3"/>
      <c r="AI7" s="3"/>
      <c r="AJ7" s="3"/>
      <c r="AK7" s="3"/>
      <c r="AL7" s="3"/>
      <c r="AO7" s="3" t="s">
        <v>91</v>
      </c>
      <c r="AP7" s="5">
        <f>Q7</f>
      </c>
    </row>
    <row r="8" ht="18" customHeight="1" spans="1:42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92</v>
      </c>
      <c r="F8" s="3" t="s">
        <v>93</v>
      </c>
      <c r="G8" s="12" t="s">
        <v>61</v>
      </c>
      <c r="H8" s="3" t="s">
        <v>94</v>
      </c>
      <c r="I8" s="3" t="s">
        <v>57</v>
      </c>
      <c r="J8" s="3" t="s">
        <v>95</v>
      </c>
      <c r="K8" s="4" t="s">
        <v>81</v>
      </c>
      <c r="L8" s="4" t="s">
        <v>49</v>
      </c>
      <c r="M8" s="4" t="s">
        <v>96</v>
      </c>
      <c r="N8" s="12" t="s">
        <v>61</v>
      </c>
      <c r="O8" s="5">
        <v>24753</v>
      </c>
      <c r="P8" s="5">
        <v>24817</v>
      </c>
      <c r="Q8" s="5">
        <f>P8-O8</f>
      </c>
      <c r="R8" s="6">
        <v>100</v>
      </c>
      <c r="S8" s="5">
        <f>IF(Q8-R8&lt;0,"0",Q8-R8)</f>
      </c>
      <c r="T8" s="5">
        <v>0</v>
      </c>
      <c r="U8" s="7">
        <v>46175.29166666667</v>
      </c>
      <c r="V8" s="7">
        <v>46175.49615740741</v>
      </c>
      <c r="W8" s="8">
        <f>V8-U8</f>
      </c>
      <c r="X8" s="9">
        <v>0.125</v>
      </c>
      <c r="Y8" s="8">
        <f>IF(W8-X8&lt;0,"00:00:00",W8-X8)</f>
      </c>
      <c r="Z8" s="10">
        <v>145</v>
      </c>
      <c r="AA8" s="10">
        <v>0</v>
      </c>
      <c r="AB8" s="11">
        <f>Y8*Z8*24</f>
      </c>
      <c r="AC8" s="11">
        <f>S8*AA8</f>
      </c>
      <c r="AD8" s="11">
        <f>T8*AA8</f>
      </c>
      <c r="AE8" s="10">
        <v>690</v>
      </c>
      <c r="AF8" s="11">
        <v>70</v>
      </c>
      <c r="AG8" s="11">
        <f>SUM(AB8:AF8)</f>
      </c>
      <c r="AH8" s="3"/>
      <c r="AI8" s="3"/>
      <c r="AJ8" s="3"/>
      <c r="AK8" s="3"/>
      <c r="AL8" s="3"/>
      <c r="AO8" s="3" t="s">
        <v>62</v>
      </c>
      <c r="AP8" s="5">
        <f>Q8</f>
      </c>
    </row>
    <row r="9" ht="18" customHeight="1" spans="1:42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97</v>
      </c>
      <c r="F9" s="3" t="s">
        <v>98</v>
      </c>
      <c r="G9" s="3" t="s">
        <v>99</v>
      </c>
      <c r="H9" s="3" t="s">
        <v>100</v>
      </c>
      <c r="I9" s="3" t="s">
        <v>101</v>
      </c>
      <c r="J9" s="3" t="s">
        <v>102</v>
      </c>
      <c r="K9" s="4" t="s">
        <v>103</v>
      </c>
      <c r="L9" s="4" t="s">
        <v>104</v>
      </c>
      <c r="M9" s="4" t="s">
        <v>105</v>
      </c>
      <c r="N9" s="3" t="s">
        <v>104</v>
      </c>
      <c r="O9" s="5">
        <v>41799</v>
      </c>
      <c r="P9" s="5">
        <v>41818</v>
      </c>
      <c r="Q9" s="5">
        <f>P9-O9</f>
      </c>
      <c r="R9" s="6">
        <v>100</v>
      </c>
      <c r="S9" s="5">
        <f>IF(Q9-R9&lt;0,"0",Q9-R9)</f>
      </c>
      <c r="T9" s="5">
        <v>0</v>
      </c>
      <c r="U9" s="7">
        <v>46175.45833333333</v>
      </c>
      <c r="V9" s="7">
        <v>46175.54178240741</v>
      </c>
      <c r="W9" s="8">
        <f>V9-U9</f>
      </c>
      <c r="X9" s="9">
        <v>0.125</v>
      </c>
      <c r="Y9" s="8">
        <f>IF(W9-X9&lt;0,"00:00:00",W9-X9)</f>
      </c>
      <c r="Z9" s="10">
        <v>145</v>
      </c>
      <c r="AA9" s="10">
        <v>0</v>
      </c>
      <c r="AB9" s="11">
        <f>Y9*Z9*24</f>
      </c>
      <c r="AC9" s="11">
        <f>S9*AA9</f>
      </c>
      <c r="AD9" s="11">
        <f>T9*AA9</f>
      </c>
      <c r="AE9" s="10">
        <v>690</v>
      </c>
      <c r="AF9" s="11">
        <v>0</v>
      </c>
      <c r="AG9" s="11">
        <f>SUM(AB9:AF9)</f>
      </c>
      <c r="AH9" s="3"/>
      <c r="AI9" s="3"/>
      <c r="AJ9" s="3"/>
      <c r="AK9" s="3"/>
      <c r="AL9" s="3"/>
      <c r="AO9" s="3" t="s">
        <v>106</v>
      </c>
      <c r="AP9" s="5">
        <f>Q9</f>
      </c>
    </row>
    <row r="10" ht="18" customHeight="1" spans="1:42" x14ac:dyDescent="0.2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107</v>
      </c>
      <c r="F10" s="3" t="s">
        <v>108</v>
      </c>
      <c r="G10" s="12" t="s">
        <v>61</v>
      </c>
      <c r="H10" s="3" t="s">
        <v>109</v>
      </c>
      <c r="I10" s="3" t="s">
        <v>110</v>
      </c>
      <c r="J10" s="3" t="s">
        <v>111</v>
      </c>
      <c r="K10" s="4" t="s">
        <v>112</v>
      </c>
      <c r="L10" s="4" t="s">
        <v>51</v>
      </c>
      <c r="M10" s="4" t="s">
        <v>113</v>
      </c>
      <c r="N10" s="3" t="s">
        <v>49</v>
      </c>
      <c r="O10" s="5">
        <v>158060</v>
      </c>
      <c r="P10" s="5">
        <v>158168</v>
      </c>
      <c r="Q10" s="5">
        <f>P10-O10</f>
      </c>
      <c r="R10" s="6">
        <v>100</v>
      </c>
      <c r="S10" s="5">
        <f>IF(Q10-R10&lt;0,"0",Q10-R10)</f>
      </c>
      <c r="T10" s="5">
        <v>0</v>
      </c>
      <c r="U10" s="7">
        <v>46175.53125</v>
      </c>
      <c r="V10" s="7">
        <v>46175.65190972222</v>
      </c>
      <c r="W10" s="8">
        <f>V10-U10</f>
      </c>
      <c r="X10" s="9">
        <v>0.125</v>
      </c>
      <c r="Y10" s="8">
        <f>IF(W10-X10&lt;0,"00:00:00",W10-X10)</f>
      </c>
      <c r="Z10" s="10">
        <v>145</v>
      </c>
      <c r="AA10" s="10">
        <v>0</v>
      </c>
      <c r="AB10" s="11">
        <f>Y10*Z10*24</f>
      </c>
      <c r="AC10" s="11">
        <f>S10*AA10</f>
      </c>
      <c r="AD10" s="11">
        <f>T10*AA10</f>
      </c>
      <c r="AE10" s="10">
        <v>690</v>
      </c>
      <c r="AF10" s="11">
        <v>7.4</v>
      </c>
      <c r="AG10" s="11">
        <f>SUM(AB10:AF10)</f>
      </c>
      <c r="AH10" s="3"/>
      <c r="AI10" s="3"/>
      <c r="AJ10" s="3"/>
      <c r="AK10" s="3"/>
      <c r="AL10" s="3"/>
      <c r="AO10" s="3" t="s">
        <v>62</v>
      </c>
      <c r="AP10" s="5">
        <f>Q10</f>
      </c>
    </row>
    <row r="11" ht="18" customHeight="1" spans="1:42" x14ac:dyDescent="0.25">
      <c r="A11" s="3" t="s">
        <v>38</v>
      </c>
      <c r="B11" s="3" t="s">
        <v>39</v>
      </c>
      <c r="C11" s="3" t="s">
        <v>40</v>
      </c>
      <c r="D11" s="3" t="s">
        <v>41</v>
      </c>
      <c r="E11" s="3" t="s">
        <v>114</v>
      </c>
      <c r="F11" s="3" t="s">
        <v>115</v>
      </c>
      <c r="G11" s="12" t="s">
        <v>61</v>
      </c>
      <c r="H11" s="3" t="s">
        <v>116</v>
      </c>
      <c r="I11" s="3" t="s">
        <v>117</v>
      </c>
      <c r="J11" s="3" t="s">
        <v>118</v>
      </c>
      <c r="K11" s="4" t="s">
        <v>81</v>
      </c>
      <c r="L11" s="4" t="s">
        <v>49</v>
      </c>
      <c r="M11" s="4" t="s">
        <v>119</v>
      </c>
      <c r="N11" s="3" t="s">
        <v>70</v>
      </c>
      <c r="O11" s="5">
        <v>8333</v>
      </c>
      <c r="P11" s="5">
        <v>9201</v>
      </c>
      <c r="Q11" s="5">
        <f>P11-O11</f>
      </c>
      <c r="R11" s="6">
        <v>758</v>
      </c>
      <c r="S11" s="5">
        <f>IF(Q11-R11&lt;0,"0",Q11-R11)</f>
      </c>
      <c r="T11" s="5">
        <v>0</v>
      </c>
      <c r="U11" s="7">
        <v>46175.55902777778</v>
      </c>
      <c r="V11" s="7">
        <v>46178.74339120371</v>
      </c>
      <c r="W11" s="8">
        <f>V11-U11</f>
      </c>
      <c r="X11" s="9">
        <v>1.4166666666666667</v>
      </c>
      <c r="Y11" s="8">
        <f>IF(W11-X11&lt;0,"00:00:00",W11-X11)</f>
      </c>
      <c r="Z11" s="10">
        <v>145</v>
      </c>
      <c r="AA11" s="10">
        <v>0</v>
      </c>
      <c r="AB11" s="11">
        <f>Y11*Z11*24</f>
      </c>
      <c r="AC11" s="11">
        <f>S11*AA11</f>
      </c>
      <c r="AD11" s="11">
        <f>T11*AA11</f>
      </c>
      <c r="AE11" s="10">
        <v>7412.45</v>
      </c>
      <c r="AF11" s="11">
        <v>85.3</v>
      </c>
      <c r="AG11" s="11">
        <f>SUM(AB11:AF11)</f>
      </c>
      <c r="AH11" s="3"/>
      <c r="AI11" s="3"/>
      <c r="AJ11" s="3"/>
      <c r="AK11" s="3"/>
      <c r="AL11" s="3"/>
      <c r="AO11" s="3" t="s">
        <v>120</v>
      </c>
      <c r="AP11" s="5">
        <f>Q11</f>
      </c>
    </row>
    <row r="12" ht="18" customHeight="1" spans="1:42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114</v>
      </c>
      <c r="F12" s="3" t="s">
        <v>121</v>
      </c>
      <c r="G12" s="3" t="s">
        <v>122</v>
      </c>
      <c r="H12" s="3" t="s">
        <v>123</v>
      </c>
      <c r="I12" s="3" t="s">
        <v>79</v>
      </c>
      <c r="J12" s="3" t="s">
        <v>124</v>
      </c>
      <c r="K12" s="4" t="s">
        <v>81</v>
      </c>
      <c r="L12" s="4" t="s">
        <v>49</v>
      </c>
      <c r="M12" s="4" t="s">
        <v>119</v>
      </c>
      <c r="N12" s="3" t="s">
        <v>70</v>
      </c>
      <c r="O12" s="5">
        <v>425977</v>
      </c>
      <c r="P12" s="5">
        <v>427146</v>
      </c>
      <c r="Q12" s="5">
        <f>P12-O12</f>
      </c>
      <c r="R12" s="6">
        <v>758</v>
      </c>
      <c r="S12" s="5">
        <f>IF(Q12-R12&lt;0,"0",Q12-R12)</f>
      </c>
      <c r="T12" s="5">
        <v>0</v>
      </c>
      <c r="U12" s="7">
        <v>46175.59375</v>
      </c>
      <c r="V12" s="7">
        <v>46178.68891203703</v>
      </c>
      <c r="W12" s="8">
        <f>V12-U12</f>
      </c>
      <c r="X12" s="9">
        <v>1.4166666666666667</v>
      </c>
      <c r="Y12" s="8">
        <f>IF(W12-X12&lt;0,"00:00:00",W12-X12)</f>
      </c>
      <c r="Z12" s="10">
        <v>145</v>
      </c>
      <c r="AA12" s="10">
        <v>0</v>
      </c>
      <c r="AB12" s="11">
        <f>Y12*Z12*24</f>
      </c>
      <c r="AC12" s="11">
        <f>S12*AA12</f>
      </c>
      <c r="AD12" s="11">
        <f>T12*AA12</f>
      </c>
      <c r="AE12" s="10">
        <v>7412.45</v>
      </c>
      <c r="AF12" s="11">
        <v>85.3</v>
      </c>
      <c r="AG12" s="11">
        <f>SUM(AB12:AF12)</f>
      </c>
      <c r="AH12" s="3"/>
      <c r="AI12" s="3"/>
      <c r="AJ12" s="3"/>
      <c r="AK12" s="3"/>
      <c r="AL12" s="3"/>
      <c r="AO12" s="3" t="s">
        <v>120</v>
      </c>
      <c r="AP12" s="5">
        <f>Q12</f>
      </c>
    </row>
    <row r="13" ht="18" customHeight="1" spans="1:42" x14ac:dyDescent="0.25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114</v>
      </c>
      <c r="F13" s="3" t="s">
        <v>125</v>
      </c>
      <c r="G13" s="12" t="s">
        <v>61</v>
      </c>
      <c r="H13" s="3" t="s">
        <v>126</v>
      </c>
      <c r="I13" s="3" t="s">
        <v>57</v>
      </c>
      <c r="J13" s="3" t="s">
        <v>127</v>
      </c>
      <c r="K13" s="4" t="s">
        <v>81</v>
      </c>
      <c r="L13" s="4" t="s">
        <v>49</v>
      </c>
      <c r="M13" s="4" t="s">
        <v>119</v>
      </c>
      <c r="N13" s="3" t="s">
        <v>70</v>
      </c>
      <c r="O13" s="5">
        <v>24880</v>
      </c>
      <c r="P13" s="5">
        <v>25793</v>
      </c>
      <c r="Q13" s="5">
        <f>P13-O13</f>
      </c>
      <c r="R13" s="6">
        <v>758</v>
      </c>
      <c r="S13" s="5">
        <f>IF(Q13-R13&lt;0,"0",Q13-R13)</f>
      </c>
      <c r="T13" s="5">
        <v>0</v>
      </c>
      <c r="U13" s="7">
        <v>46175.59375</v>
      </c>
      <c r="V13" s="7">
        <v>46178.74564814815</v>
      </c>
      <c r="W13" s="8">
        <f>V13-U13</f>
      </c>
      <c r="X13" s="9">
        <v>1.4166666666666667</v>
      </c>
      <c r="Y13" s="8">
        <f>IF(W13-X13&lt;0,"00:00:00",W13-X13)</f>
      </c>
      <c r="Z13" s="10">
        <v>145</v>
      </c>
      <c r="AA13" s="10">
        <v>0</v>
      </c>
      <c r="AB13" s="11">
        <f>Y13*Z13*24</f>
      </c>
      <c r="AC13" s="11">
        <f>S13*AA13</f>
      </c>
      <c r="AD13" s="11">
        <f>T13*AA13</f>
      </c>
      <c r="AE13" s="10">
        <v>7412.45</v>
      </c>
      <c r="AF13" s="11">
        <v>85.3</v>
      </c>
      <c r="AG13" s="11">
        <f>SUM(AB13:AF13)</f>
      </c>
      <c r="AH13" s="3"/>
      <c r="AI13" s="3"/>
      <c r="AJ13" s="3"/>
      <c r="AK13" s="3"/>
      <c r="AL13" s="3"/>
      <c r="AO13" s="3" t="s">
        <v>120</v>
      </c>
      <c r="AP13" s="5">
        <f>Q13</f>
      </c>
    </row>
    <row r="14" ht="18" customHeight="1" spans="1:42" x14ac:dyDescent="0.25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114</v>
      </c>
      <c r="F14" s="3" t="s">
        <v>128</v>
      </c>
      <c r="G14" s="12" t="s">
        <v>61</v>
      </c>
      <c r="H14" s="3" t="s">
        <v>129</v>
      </c>
      <c r="I14" s="3" t="s">
        <v>130</v>
      </c>
      <c r="J14" s="3" t="s">
        <v>131</v>
      </c>
      <c r="K14" s="4" t="s">
        <v>81</v>
      </c>
      <c r="L14" s="4" t="s">
        <v>49</v>
      </c>
      <c r="M14" s="4" t="s">
        <v>119</v>
      </c>
      <c r="N14" s="3" t="s">
        <v>70</v>
      </c>
      <c r="O14" s="5">
        <v>74537</v>
      </c>
      <c r="P14" s="5">
        <v>75677</v>
      </c>
      <c r="Q14" s="5">
        <f>P14-O14</f>
      </c>
      <c r="R14" s="6">
        <v>758</v>
      </c>
      <c r="S14" s="5">
        <f>IF(Q14-R14&lt;0,"0",Q14-R14)</f>
      </c>
      <c r="T14" s="5">
        <v>0</v>
      </c>
      <c r="U14" s="7">
        <v>46175.59722222222</v>
      </c>
      <c r="V14" s="7">
        <v>46178.69055555556</v>
      </c>
      <c r="W14" s="8">
        <f>V14-U14</f>
      </c>
      <c r="X14" s="9">
        <v>1.4166666666666667</v>
      </c>
      <c r="Y14" s="8">
        <f>IF(W14-X14&lt;0,"00:00:00",W14-X14)</f>
      </c>
      <c r="Z14" s="10">
        <v>145</v>
      </c>
      <c r="AA14" s="10">
        <v>0</v>
      </c>
      <c r="AB14" s="11">
        <f>Y14*Z14*24</f>
      </c>
      <c r="AC14" s="11">
        <f>S14*AA14</f>
      </c>
      <c r="AD14" s="11">
        <f>T14*AA14</f>
      </c>
      <c r="AE14" s="10">
        <v>7412.45</v>
      </c>
      <c r="AF14" s="11">
        <v>85.3</v>
      </c>
      <c r="AG14" s="11">
        <f>SUM(AB14:AF14)</f>
      </c>
      <c r="AH14" s="3"/>
      <c r="AI14" s="3"/>
      <c r="AJ14" s="3"/>
      <c r="AK14" s="3"/>
      <c r="AL14" s="3"/>
      <c r="AO14" s="3" t="s">
        <v>120</v>
      </c>
      <c r="AP14" s="5">
        <f>Q14</f>
      </c>
    </row>
    <row r="15" ht="18" customHeight="1" spans="1:42" x14ac:dyDescent="0.25">
      <c r="A15" s="3" t="s">
        <v>38</v>
      </c>
      <c r="B15" s="3" t="s">
        <v>39</v>
      </c>
      <c r="C15" s="3" t="s">
        <v>40</v>
      </c>
      <c r="D15" s="3" t="s">
        <v>41</v>
      </c>
      <c r="E15" s="3" t="s">
        <v>132</v>
      </c>
      <c r="F15" s="3" t="s">
        <v>133</v>
      </c>
      <c r="G15" s="12" t="s">
        <v>61</v>
      </c>
      <c r="H15" s="3" t="s">
        <v>134</v>
      </c>
      <c r="I15" s="3" t="s">
        <v>46</v>
      </c>
      <c r="J15" s="3" t="s">
        <v>135</v>
      </c>
      <c r="K15" s="4" t="s">
        <v>81</v>
      </c>
      <c r="L15" s="4" t="s">
        <v>49</v>
      </c>
      <c r="M15" s="4" t="s">
        <v>136</v>
      </c>
      <c r="N15" s="3" t="s">
        <v>104</v>
      </c>
      <c r="O15" s="5">
        <v>7963</v>
      </c>
      <c r="P15" s="5">
        <v>10549</v>
      </c>
      <c r="Q15" s="5">
        <f>P15-O15</f>
      </c>
      <c r="R15" s="6">
        <v>2650</v>
      </c>
      <c r="S15" s="5">
        <f>IF(Q15-R15&lt;0,"0",Q15-R15)</f>
      </c>
      <c r="T15" s="5">
        <v>0</v>
      </c>
      <c r="U15" s="7">
        <v>46176.25</v>
      </c>
      <c r="V15" s="7">
        <v>46181.410416666666</v>
      </c>
      <c r="W15" s="8">
        <f>V15-U15</f>
      </c>
      <c r="X15" s="9">
        <v>4.833333333333333</v>
      </c>
      <c r="Y15" s="8">
        <f>IF(W15-X15&lt;0,"00:00:00",W15-X15)</f>
      </c>
      <c r="Z15" s="10">
        <v>145</v>
      </c>
      <c r="AA15" s="10">
        <v>0</v>
      </c>
      <c r="AB15" s="11">
        <f>Y15*Z15*24</f>
      </c>
      <c r="AC15" s="11">
        <f>S15*AA15</f>
      </c>
      <c r="AD15" s="11">
        <f>T15*AA15</f>
      </c>
      <c r="AE15" s="10">
        <v>26558.75</v>
      </c>
      <c r="AF15" s="11">
        <v>29.6</v>
      </c>
      <c r="AG15" s="11">
        <f>SUM(AB15:AF15)</f>
      </c>
      <c r="AH15" s="3"/>
      <c r="AI15" s="3"/>
      <c r="AJ15" s="3"/>
      <c r="AK15" s="3"/>
      <c r="AL15" s="3"/>
      <c r="AO15" s="3" t="s">
        <v>137</v>
      </c>
      <c r="AP15" s="5">
        <f>Q15</f>
      </c>
    </row>
    <row r="16" ht="18" customHeight="1" spans="1:42" x14ac:dyDescent="0.25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53</v>
      </c>
      <c r="F16" s="3" t="s">
        <v>138</v>
      </c>
      <c r="G16" s="12" t="s">
        <v>61</v>
      </c>
      <c r="H16" s="3" t="s">
        <v>139</v>
      </c>
      <c r="I16" s="3" t="s">
        <v>140</v>
      </c>
      <c r="J16" s="3" t="s">
        <v>141</v>
      </c>
      <c r="K16" s="4" t="s">
        <v>142</v>
      </c>
      <c r="L16" s="4" t="s">
        <v>49</v>
      </c>
      <c r="M16" s="4" t="s">
        <v>81</v>
      </c>
      <c r="N16" s="3" t="s">
        <v>49</v>
      </c>
      <c r="O16" s="5">
        <v>51094</v>
      </c>
      <c r="P16" s="5">
        <v>51209</v>
      </c>
      <c r="Q16" s="5">
        <f>P16-O16</f>
      </c>
      <c r="R16" s="6">
        <v>100</v>
      </c>
      <c r="S16" s="5">
        <f>IF(Q16-R16&lt;0,"0",Q16-R16)</f>
      </c>
      <c r="T16" s="5">
        <v>0</v>
      </c>
      <c r="U16" s="7">
        <v>46176.45833333333</v>
      </c>
      <c r="V16" s="7">
        <v>46176.6265625</v>
      </c>
      <c r="W16" s="8">
        <f>V16-U16</f>
      </c>
      <c r="X16" s="9">
        <v>0.125</v>
      </c>
      <c r="Y16" s="8">
        <f>IF(W16-X16&lt;0,"00:00:00",W16-X16)</f>
      </c>
      <c r="Z16" s="10">
        <v>145</v>
      </c>
      <c r="AA16" s="10">
        <v>0</v>
      </c>
      <c r="AB16" s="11">
        <f>Y16*Z16*24</f>
      </c>
      <c r="AC16" s="11">
        <f>S16*AA16</f>
      </c>
      <c r="AD16" s="11">
        <f>T16*AA16</f>
      </c>
      <c r="AE16" s="10">
        <v>690</v>
      </c>
      <c r="AF16" s="11">
        <v>0</v>
      </c>
      <c r="AG16" s="11">
        <f>SUM(AB16:AF16)</f>
      </c>
      <c r="AH16" s="3"/>
      <c r="AI16" s="3"/>
      <c r="AJ16" s="3"/>
      <c r="AK16" s="3"/>
      <c r="AL16" s="3"/>
      <c r="AO16" s="3" t="s">
        <v>62</v>
      </c>
      <c r="AP16" s="5">
        <f>Q16</f>
      </c>
    </row>
    <row r="17" ht="18" customHeight="1" spans="1:42" x14ac:dyDescent="0.25">
      <c r="A17" s="3" t="s">
        <v>38</v>
      </c>
      <c r="B17" s="3" t="s">
        <v>39</v>
      </c>
      <c r="C17" s="3" t="s">
        <v>40</v>
      </c>
      <c r="D17" s="3" t="s">
        <v>41</v>
      </c>
      <c r="E17" s="3" t="s">
        <v>84</v>
      </c>
      <c r="F17" s="3" t="s">
        <v>143</v>
      </c>
      <c r="G17" s="12" t="s">
        <v>61</v>
      </c>
      <c r="H17" s="3" t="s">
        <v>144</v>
      </c>
      <c r="I17" s="3" t="s">
        <v>145</v>
      </c>
      <c r="J17" s="3" t="s">
        <v>146</v>
      </c>
      <c r="K17" s="4" t="s">
        <v>147</v>
      </c>
      <c r="L17" s="4" t="s">
        <v>49</v>
      </c>
      <c r="M17" s="4" t="s">
        <v>148</v>
      </c>
      <c r="N17" s="3" t="s">
        <v>49</v>
      </c>
      <c r="O17" s="5">
        <v>28798</v>
      </c>
      <c r="P17" s="5">
        <v>28833</v>
      </c>
      <c r="Q17" s="5">
        <f>P17-O17</f>
      </c>
      <c r="R17" s="6">
        <v>100</v>
      </c>
      <c r="S17" s="5">
        <f>IF(Q17-R17&lt;0,"0",Q17-R17)</f>
      </c>
      <c r="T17" s="5">
        <v>0</v>
      </c>
      <c r="U17" s="7">
        <v>46176.41666666667</v>
      </c>
      <c r="V17" s="7">
        <v>46176.48533564815</v>
      </c>
      <c r="W17" s="8">
        <f>V17-U17</f>
      </c>
      <c r="X17" s="9">
        <v>0.25</v>
      </c>
      <c r="Y17" s="8">
        <f>IF(W17-X17&lt;0,"00:00:00",W17-X17)</f>
      </c>
      <c r="Z17" s="10">
        <v>145</v>
      </c>
      <c r="AA17" s="10">
        <v>0</v>
      </c>
      <c r="AB17" s="11">
        <f>Y17*Z17*24</f>
      </c>
      <c r="AC17" s="11">
        <f>S17*AA17</f>
      </c>
      <c r="AD17" s="11">
        <f>T17*AA17</f>
      </c>
      <c r="AE17" s="10">
        <v>690</v>
      </c>
      <c r="AF17" s="11">
        <v>5.9</v>
      </c>
      <c r="AG17" s="11">
        <f>SUM(AB17:AF17)</f>
      </c>
      <c r="AH17" s="3"/>
      <c r="AI17" s="3"/>
      <c r="AJ17" s="3"/>
      <c r="AK17" s="3"/>
      <c r="AL17" s="3"/>
      <c r="AO17" s="3" t="s">
        <v>62</v>
      </c>
      <c r="AP17" s="5">
        <f>Q17</f>
      </c>
    </row>
    <row r="18" ht="18" customHeight="1" spans="1:42" x14ac:dyDescent="0.2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149</v>
      </c>
      <c r="F18" s="3" t="s">
        <v>150</v>
      </c>
      <c r="G18" s="12" t="s">
        <v>61</v>
      </c>
      <c r="H18" s="3" t="s">
        <v>151</v>
      </c>
      <c r="I18" s="3" t="s">
        <v>140</v>
      </c>
      <c r="J18" s="3" t="s">
        <v>152</v>
      </c>
      <c r="K18" s="4" t="s">
        <v>153</v>
      </c>
      <c r="L18" s="4" t="s">
        <v>49</v>
      </c>
      <c r="M18" s="4" t="s">
        <v>148</v>
      </c>
      <c r="N18" s="3" t="s">
        <v>49</v>
      </c>
      <c r="O18" s="5">
        <v>50796</v>
      </c>
      <c r="P18" s="5">
        <v>50903</v>
      </c>
      <c r="Q18" s="5">
        <f>P18-O18</f>
      </c>
      <c r="R18" s="6">
        <v>100</v>
      </c>
      <c r="S18" s="5">
        <f>IF(Q18-R18&lt;0,"0",Q18-R18)</f>
      </c>
      <c r="T18" s="5">
        <v>0</v>
      </c>
      <c r="U18" s="7">
        <v>46175.86111111111</v>
      </c>
      <c r="V18" s="7">
        <v>46176.00607638889</v>
      </c>
      <c r="W18" s="8">
        <f>V18-U18</f>
      </c>
      <c r="X18" s="9">
        <v>0.125</v>
      </c>
      <c r="Y18" s="8">
        <f>IF(W18-X18&lt;0,"00:00:00",W18-X18)</f>
      </c>
      <c r="Z18" s="10">
        <v>145</v>
      </c>
      <c r="AA18" s="10">
        <v>0</v>
      </c>
      <c r="AB18" s="11">
        <f>Y18*Z18*24</f>
      </c>
      <c r="AC18" s="11">
        <f>S18*AA18</f>
      </c>
      <c r="AD18" s="11">
        <f>T18*AA18</f>
      </c>
      <c r="AE18" s="10">
        <v>690</v>
      </c>
      <c r="AF18" s="11">
        <v>30.3</v>
      </c>
      <c r="AG18" s="11">
        <f>SUM(AB18:AF18)</f>
      </c>
      <c r="AH18" s="3"/>
      <c r="AI18" s="3"/>
      <c r="AJ18" s="3"/>
      <c r="AK18" s="3"/>
      <c r="AL18" s="3"/>
      <c r="AO18" s="3" t="s">
        <v>154</v>
      </c>
      <c r="AP18" s="5">
        <f>Q18</f>
      </c>
    </row>
    <row r="19" ht="18" customHeight="1" spans="1:42" x14ac:dyDescent="0.25">
      <c r="A19" s="3" t="s">
        <v>38</v>
      </c>
      <c r="B19" s="3" t="s">
        <v>39</v>
      </c>
      <c r="C19" s="3" t="s">
        <v>40</v>
      </c>
      <c r="D19" s="3" t="s">
        <v>41</v>
      </c>
      <c r="E19" s="3" t="s">
        <v>155</v>
      </c>
      <c r="F19" s="3" t="s">
        <v>156</v>
      </c>
      <c r="G19" s="12" t="s">
        <v>61</v>
      </c>
      <c r="H19" s="3" t="s">
        <v>157</v>
      </c>
      <c r="I19" s="3" t="s">
        <v>158</v>
      </c>
      <c r="J19" s="3" t="s">
        <v>159</v>
      </c>
      <c r="K19" s="4" t="s">
        <v>160</v>
      </c>
      <c r="L19" s="4" t="s">
        <v>70</v>
      </c>
      <c r="M19" s="4" t="s">
        <v>82</v>
      </c>
      <c r="N19" s="12" t="s">
        <v>61</v>
      </c>
      <c r="O19" s="5">
        <v>110426</v>
      </c>
      <c r="P19" s="5">
        <v>110626</v>
      </c>
      <c r="Q19" s="5">
        <f>P19-O19</f>
      </c>
      <c r="R19" s="6">
        <v>200</v>
      </c>
      <c r="S19" s="5">
        <f>IF(Q19-R19&lt;0,"0",Q19-R19)</f>
      </c>
      <c r="T19" s="5">
        <v>0</v>
      </c>
      <c r="U19" s="7">
        <v>46175.90277777778</v>
      </c>
      <c r="V19" s="7">
        <v>46176.05607638889</v>
      </c>
      <c r="W19" s="8">
        <f>V19-U19</f>
      </c>
      <c r="X19" s="9">
        <v>0.25</v>
      </c>
      <c r="Y19" s="8">
        <f>IF(W19-X19&lt;0,"00:00:00",W19-X19)</f>
      </c>
      <c r="Z19" s="10">
        <v>145</v>
      </c>
      <c r="AA19" s="10">
        <v>0</v>
      </c>
      <c r="AB19" s="11">
        <f>Y19*Z19*24</f>
      </c>
      <c r="AC19" s="11">
        <f>S19*AA19</f>
      </c>
      <c r="AD19" s="11">
        <f>T19*AA19</f>
      </c>
      <c r="AE19" s="10">
        <v>1380</v>
      </c>
      <c r="AF19" s="11">
        <v>35</v>
      </c>
      <c r="AG19" s="11">
        <f>SUM(AB19:AF19)</f>
      </c>
      <c r="AH19" s="3"/>
      <c r="AI19" s="3"/>
      <c r="AJ19" s="3"/>
      <c r="AK19" s="3"/>
      <c r="AL19" s="3"/>
      <c r="AO19" s="3" t="s">
        <v>161</v>
      </c>
      <c r="AP19" s="5">
        <f>Q19</f>
      </c>
    </row>
    <row r="20" ht="18" customHeight="1" spans="1:42" x14ac:dyDescent="0.25">
      <c r="A20" s="3" t="s">
        <v>38</v>
      </c>
      <c r="B20" s="3" t="s">
        <v>39</v>
      </c>
      <c r="C20" s="3" t="s">
        <v>40</v>
      </c>
      <c r="D20" s="3" t="s">
        <v>41</v>
      </c>
      <c r="E20" s="3" t="s">
        <v>162</v>
      </c>
      <c r="F20" s="3" t="s">
        <v>163</v>
      </c>
      <c r="G20" s="12" t="s">
        <v>61</v>
      </c>
      <c r="H20" s="3" t="s">
        <v>164</v>
      </c>
      <c r="I20" s="3" t="s">
        <v>165</v>
      </c>
      <c r="J20" s="3" t="s">
        <v>166</v>
      </c>
      <c r="K20" s="4" t="s">
        <v>167</v>
      </c>
      <c r="L20" s="4" t="s">
        <v>168</v>
      </c>
      <c r="M20" s="4" t="s">
        <v>60</v>
      </c>
      <c r="N20" s="12" t="s">
        <v>61</v>
      </c>
      <c r="O20" s="5">
        <v>256517</v>
      </c>
      <c r="P20" s="5">
        <v>256830</v>
      </c>
      <c r="Q20" s="5">
        <f>P20-O20</f>
      </c>
      <c r="R20" s="6">
        <v>300</v>
      </c>
      <c r="S20" s="5">
        <f>IF(Q20-R20&lt;0,"0",Q20-R20)</f>
      </c>
      <c r="T20" s="5">
        <v>0</v>
      </c>
      <c r="U20" s="7">
        <v>46176.1875</v>
      </c>
      <c r="V20" s="7">
        <v>46176.415</v>
      </c>
      <c r="W20" s="8">
        <f>V20-U20</f>
      </c>
      <c r="X20" s="9">
        <v>0.2916666666666667</v>
      </c>
      <c r="Y20" s="8">
        <f>IF(W20-X20&lt;0,"00:00:00",W20-X20)</f>
      </c>
      <c r="Z20" s="10">
        <v>145</v>
      </c>
      <c r="AA20" s="10">
        <v>0</v>
      </c>
      <c r="AB20" s="11">
        <f>Y20*Z20*24</f>
      </c>
      <c r="AC20" s="11">
        <f>S20*AA20</f>
      </c>
      <c r="AD20" s="11">
        <f>T20*AA20</f>
      </c>
      <c r="AE20" s="10">
        <v>2070</v>
      </c>
      <c r="AF20" s="11">
        <v>40</v>
      </c>
      <c r="AG20" s="11">
        <f>SUM(AB20:AF20)</f>
      </c>
      <c r="AH20" s="3"/>
      <c r="AI20" s="3"/>
      <c r="AJ20" s="3"/>
      <c r="AK20" s="3"/>
      <c r="AL20" s="3"/>
      <c r="AO20" s="3" t="s">
        <v>169</v>
      </c>
      <c r="AP20" s="5">
        <f>Q20</f>
      </c>
    </row>
    <row r="21" ht="18" customHeight="1" spans="1:42" x14ac:dyDescent="0.25">
      <c r="A21" s="3" t="s">
        <v>38</v>
      </c>
      <c r="B21" s="3" t="s">
        <v>39</v>
      </c>
      <c r="C21" s="3" t="s">
        <v>40</v>
      </c>
      <c r="D21" s="3" t="s">
        <v>41</v>
      </c>
      <c r="E21" s="3" t="s">
        <v>170</v>
      </c>
      <c r="F21" s="3" t="s">
        <v>171</v>
      </c>
      <c r="G21" s="12" t="s">
        <v>61</v>
      </c>
      <c r="H21" s="3" t="s">
        <v>172</v>
      </c>
      <c r="I21" s="3" t="s">
        <v>173</v>
      </c>
      <c r="J21" s="3" t="s">
        <v>174</v>
      </c>
      <c r="K21" s="4" t="s">
        <v>175</v>
      </c>
      <c r="L21" s="4" t="s">
        <v>176</v>
      </c>
      <c r="M21" s="4" t="s">
        <v>177</v>
      </c>
      <c r="N21" s="3" t="s">
        <v>176</v>
      </c>
      <c r="O21" s="5">
        <v>81946</v>
      </c>
      <c r="P21" s="5">
        <v>81973</v>
      </c>
      <c r="Q21" s="5">
        <f>P21-O21</f>
      </c>
      <c r="R21" s="6">
        <v>100</v>
      </c>
      <c r="S21" s="5">
        <f>IF(Q21-R21&lt;0,"0",Q21-R21)</f>
      </c>
      <c r="T21" s="5">
        <v>0</v>
      </c>
      <c r="U21" s="7">
        <v>46176.25</v>
      </c>
      <c r="V21" s="7">
        <v>46176.32277777778</v>
      </c>
      <c r="W21" s="8">
        <f>V21-U21</f>
      </c>
      <c r="X21" s="9">
        <v>0.125</v>
      </c>
      <c r="Y21" s="8">
        <f>IF(W21-X21&lt;0,"00:00:00",W21-X21)</f>
      </c>
      <c r="Z21" s="10">
        <v>145</v>
      </c>
      <c r="AA21" s="10">
        <v>6.9</v>
      </c>
      <c r="AB21" s="11">
        <f>Y21*Z21*24</f>
      </c>
      <c r="AC21" s="11">
        <f>S21*AA21</f>
      </c>
      <c r="AD21" s="11">
        <f>T21*AA21</f>
      </c>
      <c r="AE21" s="10">
        <v>690</v>
      </c>
      <c r="AF21" s="11">
        <v>0</v>
      </c>
      <c r="AG21" s="11">
        <f>SUM(AB21:AF21)</f>
      </c>
      <c r="AH21" s="3"/>
      <c r="AI21" s="3"/>
      <c r="AJ21" s="3"/>
      <c r="AK21" s="3"/>
      <c r="AL21" s="3"/>
      <c r="AO21" s="3" t="s">
        <v>178</v>
      </c>
      <c r="AP21" s="5">
        <f>Q21</f>
      </c>
    </row>
    <row r="22" ht="18" customHeight="1" spans="1:42" x14ac:dyDescent="0.25">
      <c r="A22" s="3" t="s">
        <v>38</v>
      </c>
      <c r="B22" s="3" t="s">
        <v>39</v>
      </c>
      <c r="C22" s="3" t="s">
        <v>40</v>
      </c>
      <c r="D22" s="3" t="s">
        <v>41</v>
      </c>
      <c r="E22" s="3" t="s">
        <v>179</v>
      </c>
      <c r="F22" s="3" t="s">
        <v>180</v>
      </c>
      <c r="G22" s="12" t="s">
        <v>61</v>
      </c>
      <c r="H22" s="3" t="s">
        <v>181</v>
      </c>
      <c r="I22" s="3" t="s">
        <v>182</v>
      </c>
      <c r="J22" s="3" t="s">
        <v>183</v>
      </c>
      <c r="K22" s="4" t="s">
        <v>184</v>
      </c>
      <c r="L22" s="4" t="s">
        <v>185</v>
      </c>
      <c r="M22" s="4" t="s">
        <v>186</v>
      </c>
      <c r="N22" s="3" t="s">
        <v>185</v>
      </c>
      <c r="O22" s="5">
        <v>91271</v>
      </c>
      <c r="P22" s="5">
        <v>91291</v>
      </c>
      <c r="Q22" s="5">
        <f>P22-O22</f>
      </c>
      <c r="R22" s="6">
        <v>100</v>
      </c>
      <c r="S22" s="5">
        <f>IF(Q22-R22&lt;0,"0",Q22-R22)</f>
      </c>
      <c r="T22" s="5">
        <v>0</v>
      </c>
      <c r="U22" s="7">
        <v>46176.29166666667</v>
      </c>
      <c r="V22" s="7">
        <v>46176.404062500005</v>
      </c>
      <c r="W22" s="8">
        <f>V22-U22</f>
      </c>
      <c r="X22" s="9">
        <v>0.125</v>
      </c>
      <c r="Y22" s="8">
        <f>IF(W22-X22&lt;0,"00:00:00",W22-X22)</f>
      </c>
      <c r="Z22" s="10">
        <v>145</v>
      </c>
      <c r="AA22" s="10">
        <v>6.9</v>
      </c>
      <c r="AB22" s="11">
        <f>Y22*Z22*24</f>
      </c>
      <c r="AC22" s="11">
        <f>S22*AA22</f>
      </c>
      <c r="AD22" s="11">
        <f>T22*AA22</f>
      </c>
      <c r="AE22" s="10">
        <v>690</v>
      </c>
      <c r="AF22" s="11">
        <v>0</v>
      </c>
      <c r="AG22" s="11">
        <f>SUM(AB22:AF22)</f>
      </c>
      <c r="AH22" s="3"/>
      <c r="AI22" s="3"/>
      <c r="AJ22" s="3"/>
      <c r="AK22" s="3"/>
      <c r="AL22" s="3"/>
      <c r="AO22" s="3" t="s">
        <v>187</v>
      </c>
      <c r="AP22" s="5">
        <f>Q22</f>
      </c>
    </row>
    <row r="23" ht="18" customHeight="1" spans="1:42" x14ac:dyDescent="0.25">
      <c r="A23" s="3" t="s">
        <v>38</v>
      </c>
      <c r="B23" s="3" t="s">
        <v>39</v>
      </c>
      <c r="C23" s="3" t="s">
        <v>40</v>
      </c>
      <c r="D23" s="3" t="s">
        <v>41</v>
      </c>
      <c r="E23" s="3" t="s">
        <v>84</v>
      </c>
      <c r="F23" s="3" t="s">
        <v>188</v>
      </c>
      <c r="G23" s="12" t="s">
        <v>61</v>
      </c>
      <c r="H23" s="3" t="s">
        <v>189</v>
      </c>
      <c r="I23" s="3" t="s">
        <v>88</v>
      </c>
      <c r="J23" s="3" t="s">
        <v>190</v>
      </c>
      <c r="K23" s="4" t="s">
        <v>81</v>
      </c>
      <c r="L23" s="4" t="s">
        <v>49</v>
      </c>
      <c r="M23" s="4" t="s">
        <v>191</v>
      </c>
      <c r="N23" s="3" t="s">
        <v>49</v>
      </c>
      <c r="O23" s="5">
        <v>100945</v>
      </c>
      <c r="P23" s="5">
        <v>101005</v>
      </c>
      <c r="Q23" s="5">
        <f>P23-O23</f>
      </c>
      <c r="R23" s="6">
        <v>100</v>
      </c>
      <c r="S23" s="5">
        <f>IF(Q23-R23&lt;0,"0",Q23-R23)</f>
      </c>
      <c r="T23" s="5">
        <v>0</v>
      </c>
      <c r="U23" s="7">
        <v>46176.33333333333</v>
      </c>
      <c r="V23" s="7">
        <v>46176.51809027778</v>
      </c>
      <c r="W23" s="8">
        <f>V23-U23</f>
      </c>
      <c r="X23" s="9">
        <v>0.125</v>
      </c>
      <c r="Y23" s="8">
        <f>IF(W23-X23&lt;0,"00:00:00",W23-X23)</f>
      </c>
      <c r="Z23" s="10">
        <v>145</v>
      </c>
      <c r="AA23" s="10">
        <v>0</v>
      </c>
      <c r="AB23" s="11">
        <f>Y23*Z23*24</f>
      </c>
      <c r="AC23" s="11">
        <f>S23*AA23</f>
      </c>
      <c r="AD23" s="11">
        <f>T23*AA23</f>
      </c>
      <c r="AE23" s="10">
        <v>690</v>
      </c>
      <c r="AF23" s="11">
        <v>13.7</v>
      </c>
      <c r="AG23" s="11">
        <f>SUM(AB23:AF23)</f>
      </c>
      <c r="AH23" s="3"/>
      <c r="AI23" s="3"/>
      <c r="AJ23" s="3"/>
      <c r="AK23" s="3"/>
      <c r="AL23" s="3"/>
      <c r="AO23" s="3" t="s">
        <v>91</v>
      </c>
      <c r="AP23" s="5">
        <f>Q23</f>
      </c>
    </row>
    <row r="24" ht="18" customHeight="1" spans="1:42" x14ac:dyDescent="0.25">
      <c r="A24" s="3" t="s">
        <v>38</v>
      </c>
      <c r="B24" s="3" t="s">
        <v>39</v>
      </c>
      <c r="C24" s="3" t="s">
        <v>40</v>
      </c>
      <c r="D24" s="3" t="s">
        <v>41</v>
      </c>
      <c r="E24" s="3" t="s">
        <v>192</v>
      </c>
      <c r="F24" s="3" t="s">
        <v>193</v>
      </c>
      <c r="G24" s="12" t="s">
        <v>61</v>
      </c>
      <c r="H24" s="3" t="s">
        <v>194</v>
      </c>
      <c r="I24" s="3" t="s">
        <v>195</v>
      </c>
      <c r="J24" s="3" t="s">
        <v>196</v>
      </c>
      <c r="K24" s="4" t="s">
        <v>197</v>
      </c>
      <c r="L24" s="4" t="s">
        <v>51</v>
      </c>
      <c r="M24" s="4" t="s">
        <v>82</v>
      </c>
      <c r="N24" s="12" t="s">
        <v>61</v>
      </c>
      <c r="O24" s="5">
        <v>126627</v>
      </c>
      <c r="P24" s="5">
        <v>126827</v>
      </c>
      <c r="Q24" s="5">
        <f>P24-O24</f>
      </c>
      <c r="R24" s="6">
        <v>200</v>
      </c>
      <c r="S24" s="5">
        <f>IF(Q24-R24&lt;0,"0",Q24-R24)</f>
      </c>
      <c r="T24" s="5">
        <v>0</v>
      </c>
      <c r="U24" s="7">
        <v>46176.84375</v>
      </c>
      <c r="V24" s="7">
        <v>46177.030185185184</v>
      </c>
      <c r="W24" s="8">
        <f>V24-U24</f>
      </c>
      <c r="X24" s="9">
        <v>0.25</v>
      </c>
      <c r="Y24" s="8">
        <f>IF(W24-X24&lt;0,"00:00:00",W24-X24)</f>
      </c>
      <c r="Z24" s="10">
        <v>145</v>
      </c>
      <c r="AA24" s="10">
        <v>0</v>
      </c>
      <c r="AB24" s="11">
        <f>Y24*Z24*24</f>
      </c>
      <c r="AC24" s="11">
        <f>S24*AA24</f>
      </c>
      <c r="AD24" s="11">
        <f>T24*AA24</f>
      </c>
      <c r="AE24" s="10">
        <v>1380</v>
      </c>
      <c r="AF24" s="11">
        <v>0</v>
      </c>
      <c r="AG24" s="11">
        <f>SUM(AB24:AF24)</f>
      </c>
      <c r="AH24" s="3"/>
      <c r="AI24" s="3"/>
      <c r="AJ24" s="3"/>
      <c r="AK24" s="3"/>
      <c r="AL24" s="3"/>
      <c r="AO24" s="3" t="s">
        <v>161</v>
      </c>
      <c r="AP24" s="5">
        <f>Q24</f>
      </c>
    </row>
    <row r="25" ht="18" customHeight="1" spans="1:42" x14ac:dyDescent="0.25">
      <c r="A25" s="3" t="s">
        <v>38</v>
      </c>
      <c r="B25" s="3" t="s">
        <v>39</v>
      </c>
      <c r="C25" s="3" t="s">
        <v>40</v>
      </c>
      <c r="D25" s="3" t="s">
        <v>198</v>
      </c>
      <c r="E25" s="3" t="s">
        <v>199</v>
      </c>
      <c r="F25" s="3" t="s">
        <v>200</v>
      </c>
      <c r="G25" s="12" t="s">
        <v>61</v>
      </c>
      <c r="H25" s="3" t="s">
        <v>201</v>
      </c>
      <c r="I25" s="3" t="s">
        <v>165</v>
      </c>
      <c r="J25" s="3" t="s">
        <v>202</v>
      </c>
      <c r="K25" s="4" t="s">
        <v>167</v>
      </c>
      <c r="L25" s="4" t="s">
        <v>168</v>
      </c>
      <c r="M25" s="4" t="s">
        <v>82</v>
      </c>
      <c r="N25" s="12" t="s">
        <v>61</v>
      </c>
      <c r="O25" s="5">
        <v>0</v>
      </c>
      <c r="P25" s="5">
        <v>0</v>
      </c>
      <c r="Q25" s="5">
        <v>0</v>
      </c>
      <c r="R25" s="6">
        <v>200</v>
      </c>
      <c r="S25" s="5">
        <f>IF(Q25-R25&lt;0,"0",Q25-R25)</f>
      </c>
      <c r="T25" s="5">
        <v>0</v>
      </c>
      <c r="U25" s="7">
        <v>46176.870833333334</v>
      </c>
      <c r="V25" s="7">
        <v>46176.870833333334</v>
      </c>
      <c r="W25" s="8">
        <f>V25-U25</f>
      </c>
      <c r="X25" s="9">
        <v>0.20833333333333334</v>
      </c>
      <c r="Y25" s="8">
        <f>IF(W25-X25&lt;0,"00:00:00",W25-X25)</f>
      </c>
      <c r="Z25" s="10">
        <v>145</v>
      </c>
      <c r="AA25" s="10">
        <v>0</v>
      </c>
      <c r="AB25" s="11">
        <f>Y25*Z25*24</f>
      </c>
      <c r="AC25" s="11">
        <f>S25*AA25</f>
      </c>
      <c r="AD25" s="11">
        <f>T25*AA25</f>
      </c>
      <c r="AE25" s="10">
        <v>690</v>
      </c>
      <c r="AF25" s="11">
        <v>0</v>
      </c>
      <c r="AG25" s="11">
        <f>SUM(AB25:AF25)</f>
      </c>
      <c r="AH25" s="3"/>
      <c r="AI25" s="3"/>
      <c r="AJ25" s="3"/>
      <c r="AK25" s="3"/>
      <c r="AL25" s="3"/>
      <c r="AO25" s="3" t="s">
        <v>203</v>
      </c>
      <c r="AP25" s="5">
        <f>Q25</f>
      </c>
    </row>
    <row r="26" ht="18" customHeight="1" spans="1:42" x14ac:dyDescent="0.25">
      <c r="A26" s="3" t="s">
        <v>38</v>
      </c>
      <c r="B26" s="3" t="s">
        <v>39</v>
      </c>
      <c r="C26" s="3" t="s">
        <v>40</v>
      </c>
      <c r="D26" s="3" t="s">
        <v>41</v>
      </c>
      <c r="E26" s="3" t="s">
        <v>204</v>
      </c>
      <c r="F26" s="3" t="s">
        <v>205</v>
      </c>
      <c r="G26" s="12" t="s">
        <v>61</v>
      </c>
      <c r="H26" s="3" t="s">
        <v>206</v>
      </c>
      <c r="I26" s="3" t="s">
        <v>207</v>
      </c>
      <c r="J26" s="3" t="s">
        <v>208</v>
      </c>
      <c r="K26" s="4" t="s">
        <v>81</v>
      </c>
      <c r="L26" s="4" t="s">
        <v>49</v>
      </c>
      <c r="M26" s="4" t="s">
        <v>148</v>
      </c>
      <c r="N26" s="3" t="s">
        <v>49</v>
      </c>
      <c r="O26" s="5">
        <v>32849</v>
      </c>
      <c r="P26" s="5">
        <v>32911</v>
      </c>
      <c r="Q26" s="5">
        <f>P26-O26</f>
      </c>
      <c r="R26" s="6">
        <v>100</v>
      </c>
      <c r="S26" s="5">
        <f>IF(Q26-R26&lt;0,"0",Q26-R26)</f>
      </c>
      <c r="T26" s="5">
        <v>0</v>
      </c>
      <c r="U26" s="7">
        <v>46176.940775462965</v>
      </c>
      <c r="V26" s="7">
        <v>46176.98792824074</v>
      </c>
      <c r="W26" s="8">
        <f>V26-U26</f>
      </c>
      <c r="X26" s="9">
        <v>0.25</v>
      </c>
      <c r="Y26" s="8">
        <f>IF(W26-X26&lt;0,"00:00:00",W26-X26)</f>
      </c>
      <c r="Z26" s="10">
        <v>145</v>
      </c>
      <c r="AA26" s="10">
        <v>0</v>
      </c>
      <c r="AB26" s="11">
        <f>Y26*Z26*24</f>
      </c>
      <c r="AC26" s="11">
        <f>S26*AA26</f>
      </c>
      <c r="AD26" s="11">
        <f>T26*AA26</f>
      </c>
      <c r="AE26" s="10">
        <v>690</v>
      </c>
      <c r="AF26" s="11">
        <v>5.9</v>
      </c>
      <c r="AG26" s="11">
        <f>SUM(AB26:AF26)</f>
      </c>
      <c r="AH26" s="3"/>
      <c r="AI26" s="3"/>
      <c r="AJ26" s="3"/>
      <c r="AK26" s="3"/>
      <c r="AL26" s="3"/>
      <c r="AO26" s="3" t="s">
        <v>62</v>
      </c>
      <c r="AP26" s="5">
        <f>Q26</f>
      </c>
    </row>
    <row r="27" ht="18" customHeight="1" spans="1:42" x14ac:dyDescent="0.25">
      <c r="A27" s="3" t="s">
        <v>38</v>
      </c>
      <c r="B27" s="3" t="s">
        <v>39</v>
      </c>
      <c r="C27" s="3" t="s">
        <v>40</v>
      </c>
      <c r="D27" s="3" t="s">
        <v>41</v>
      </c>
      <c r="E27" s="3" t="s">
        <v>155</v>
      </c>
      <c r="F27" s="3" t="s">
        <v>209</v>
      </c>
      <c r="G27" s="12" t="s">
        <v>61</v>
      </c>
      <c r="H27" s="3" t="s">
        <v>210</v>
      </c>
      <c r="I27" s="3" t="s">
        <v>211</v>
      </c>
      <c r="J27" s="3" t="s">
        <v>212</v>
      </c>
      <c r="K27" s="4" t="s">
        <v>160</v>
      </c>
      <c r="L27" s="4" t="s">
        <v>70</v>
      </c>
      <c r="M27" s="4" t="s">
        <v>82</v>
      </c>
      <c r="N27" s="12" t="s">
        <v>61</v>
      </c>
      <c r="O27" s="5">
        <v>121341</v>
      </c>
      <c r="P27" s="5">
        <v>121541</v>
      </c>
      <c r="Q27" s="5">
        <f>P27-O27</f>
      </c>
      <c r="R27" s="6">
        <v>200</v>
      </c>
      <c r="S27" s="5">
        <f>IF(Q27-R27&lt;0,"0",Q27-R27)</f>
      </c>
      <c r="T27" s="5">
        <v>0</v>
      </c>
      <c r="U27" s="7">
        <v>46176.930555555555</v>
      </c>
      <c r="V27" s="7">
        <v>46177.287141203706</v>
      </c>
      <c r="W27" s="8">
        <f>V27-U27</f>
      </c>
      <c r="X27" s="9">
        <v>0.25</v>
      </c>
      <c r="Y27" s="8">
        <f>IF(W27-X27&lt;0,"00:00:00",W27-X27)</f>
      </c>
      <c r="Z27" s="10">
        <v>145</v>
      </c>
      <c r="AA27" s="10">
        <v>0</v>
      </c>
      <c r="AB27" s="11">
        <f>Y27*Z27*24</f>
      </c>
      <c r="AC27" s="11">
        <f>S27*AA27</f>
      </c>
      <c r="AD27" s="11">
        <f>T27*AA27</f>
      </c>
      <c r="AE27" s="10">
        <v>1380</v>
      </c>
      <c r="AF27" s="11">
        <v>35</v>
      </c>
      <c r="AG27" s="11">
        <f>SUM(AB27:AF27)</f>
      </c>
      <c r="AH27" s="3"/>
      <c r="AI27" s="3"/>
      <c r="AJ27" s="3"/>
      <c r="AK27" s="3"/>
      <c r="AL27" s="3"/>
      <c r="AO27" s="3" t="s">
        <v>161</v>
      </c>
      <c r="AP27" s="5">
        <f>Q27</f>
      </c>
    </row>
    <row r="28" ht="18" customHeight="1" spans="1:42" x14ac:dyDescent="0.25">
      <c r="A28" s="3" t="s">
        <v>38</v>
      </c>
      <c r="B28" s="3" t="s">
        <v>39</v>
      </c>
      <c r="C28" s="3" t="s">
        <v>40</v>
      </c>
      <c r="D28" s="3" t="s">
        <v>41</v>
      </c>
      <c r="E28" s="3" t="s">
        <v>53</v>
      </c>
      <c r="F28" s="3" t="s">
        <v>213</v>
      </c>
      <c r="G28" s="12" t="s">
        <v>61</v>
      </c>
      <c r="H28" s="3" t="s">
        <v>214</v>
      </c>
      <c r="I28" s="3" t="s">
        <v>140</v>
      </c>
      <c r="J28" s="3" t="s">
        <v>215</v>
      </c>
      <c r="K28" s="4" t="s">
        <v>148</v>
      </c>
      <c r="L28" s="4" t="s">
        <v>49</v>
      </c>
      <c r="M28" s="4" t="s">
        <v>82</v>
      </c>
      <c r="N28" s="12" t="s">
        <v>61</v>
      </c>
      <c r="O28" s="5">
        <v>51300</v>
      </c>
      <c r="P28" s="5">
        <v>51500</v>
      </c>
      <c r="Q28" s="5">
        <f>P28-O28</f>
      </c>
      <c r="R28" s="6">
        <v>200</v>
      </c>
      <c r="S28" s="5">
        <f>IF(Q28-R28&lt;0,"0",Q28-R28)</f>
      </c>
      <c r="T28" s="5">
        <v>0</v>
      </c>
      <c r="U28" s="7">
        <v>46177.04166666667</v>
      </c>
      <c r="V28" s="7">
        <v>46177.19662037037</v>
      </c>
      <c r="W28" s="8">
        <f>V28-U28</f>
      </c>
      <c r="X28" s="9">
        <v>0.25</v>
      </c>
      <c r="Y28" s="8">
        <f>IF(W28-X28&lt;0,"00:00:00",W28-X28)</f>
      </c>
      <c r="Z28" s="10">
        <v>145</v>
      </c>
      <c r="AA28" s="10">
        <v>0</v>
      </c>
      <c r="AB28" s="11">
        <f>Y28*Z28*24</f>
      </c>
      <c r="AC28" s="11">
        <f>S28*AA28</f>
      </c>
      <c r="AD28" s="11">
        <f>T28*AA28</f>
      </c>
      <c r="AE28" s="10">
        <v>1380</v>
      </c>
      <c r="AF28" s="11">
        <v>0</v>
      </c>
      <c r="AG28" s="11">
        <f>SUM(AB28:AF28)</f>
      </c>
      <c r="AH28" s="3"/>
      <c r="AI28" s="3"/>
      <c r="AJ28" s="3"/>
      <c r="AK28" s="3"/>
      <c r="AL28" s="3"/>
      <c r="AO28" s="3" t="s">
        <v>161</v>
      </c>
      <c r="AP28" s="5">
        <f>Q28</f>
      </c>
    </row>
    <row r="29" ht="18" customHeight="1" spans="1:42" x14ac:dyDescent="0.25">
      <c r="A29" s="3" t="s">
        <v>38</v>
      </c>
      <c r="B29" s="3" t="s">
        <v>39</v>
      </c>
      <c r="C29" s="3" t="s">
        <v>40</v>
      </c>
      <c r="D29" s="3" t="s">
        <v>41</v>
      </c>
      <c r="E29" s="3" t="s">
        <v>155</v>
      </c>
      <c r="F29" s="3" t="s">
        <v>216</v>
      </c>
      <c r="G29" s="12" t="s">
        <v>61</v>
      </c>
      <c r="H29" s="3" t="s">
        <v>217</v>
      </c>
      <c r="I29" s="3" t="s">
        <v>218</v>
      </c>
      <c r="J29" s="3" t="s">
        <v>219</v>
      </c>
      <c r="K29" s="4" t="s">
        <v>220</v>
      </c>
      <c r="L29" s="4" t="s">
        <v>70</v>
      </c>
      <c r="M29" s="4" t="s">
        <v>82</v>
      </c>
      <c r="N29" s="12" t="s">
        <v>61</v>
      </c>
      <c r="O29" s="5">
        <v>34221</v>
      </c>
      <c r="P29" s="5">
        <v>34428</v>
      </c>
      <c r="Q29" s="5">
        <f>P29-O29</f>
      </c>
      <c r="R29" s="6">
        <v>200</v>
      </c>
      <c r="S29" s="5">
        <f>IF(Q29-R29&lt;0,"0",Q29-R29)</f>
      </c>
      <c r="T29" s="5">
        <v>0</v>
      </c>
      <c r="U29" s="7">
        <v>46177.430555555555</v>
      </c>
      <c r="V29" s="7">
        <v>46177.62620370371</v>
      </c>
      <c r="W29" s="8">
        <f>V29-U29</f>
      </c>
      <c r="X29" s="9">
        <v>0.25</v>
      </c>
      <c r="Y29" s="8">
        <f>IF(W29-X29&lt;0,"00:00:00",W29-X29)</f>
      </c>
      <c r="Z29" s="10">
        <v>145</v>
      </c>
      <c r="AA29" s="10">
        <v>0</v>
      </c>
      <c r="AB29" s="11">
        <f>Y29*Z29*24</f>
      </c>
      <c r="AC29" s="11">
        <f>S29*AA29</f>
      </c>
      <c r="AD29" s="11">
        <f>T29*AA29</f>
      </c>
      <c r="AE29" s="10">
        <v>1380</v>
      </c>
      <c r="AF29" s="11">
        <v>0</v>
      </c>
      <c r="AG29" s="11">
        <f>SUM(AB29:AF29)</f>
      </c>
      <c r="AH29" s="3"/>
      <c r="AI29" s="3"/>
      <c r="AJ29" s="3"/>
      <c r="AK29" s="3"/>
      <c r="AL29" s="3"/>
      <c r="AO29" s="3" t="s">
        <v>161</v>
      </c>
      <c r="AP29" s="5">
        <f>Q29</f>
      </c>
    </row>
    <row r="30" ht="18" customHeight="1" spans="1:42" x14ac:dyDescent="0.25">
      <c r="A30" s="3" t="s">
        <v>38</v>
      </c>
      <c r="B30" s="3" t="s">
        <v>39</v>
      </c>
      <c r="C30" s="3" t="s">
        <v>40</v>
      </c>
      <c r="D30" s="3" t="s">
        <v>41</v>
      </c>
      <c r="E30" s="3" t="s">
        <v>53</v>
      </c>
      <c r="F30" s="3" t="s">
        <v>221</v>
      </c>
      <c r="G30" s="12" t="s">
        <v>61</v>
      </c>
      <c r="H30" s="3" t="s">
        <v>222</v>
      </c>
      <c r="I30" s="3" t="s">
        <v>140</v>
      </c>
      <c r="J30" s="3" t="s">
        <v>223</v>
      </c>
      <c r="K30" s="4" t="s">
        <v>148</v>
      </c>
      <c r="L30" s="4" t="s">
        <v>49</v>
      </c>
      <c r="M30" s="4" t="s">
        <v>82</v>
      </c>
      <c r="N30" s="12" t="s">
        <v>61</v>
      </c>
      <c r="O30" s="5">
        <v>51710</v>
      </c>
      <c r="P30" s="5">
        <v>51912</v>
      </c>
      <c r="Q30" s="5">
        <f>P30-O30</f>
      </c>
      <c r="R30" s="6">
        <v>200</v>
      </c>
      <c r="S30" s="5">
        <f>IF(Q30-R30&lt;0,"0",Q30-R30)</f>
      </c>
      <c r="T30" s="5">
        <v>0</v>
      </c>
      <c r="U30" s="7">
        <v>46177.35763888889</v>
      </c>
      <c r="V30" s="7">
        <v>46177.58944444444</v>
      </c>
      <c r="W30" s="8">
        <f>V30-U30</f>
      </c>
      <c r="X30" s="9">
        <v>0.25</v>
      </c>
      <c r="Y30" s="8">
        <f>IF(W30-X30&lt;0,"00:00:00",W30-X30)</f>
      </c>
      <c r="Z30" s="10">
        <v>145</v>
      </c>
      <c r="AA30" s="10">
        <v>0</v>
      </c>
      <c r="AB30" s="11">
        <f>Y30*Z30*24</f>
      </c>
      <c r="AC30" s="11">
        <f>S30*AA30</f>
      </c>
      <c r="AD30" s="11">
        <f>T30*AA30</f>
      </c>
      <c r="AE30" s="10">
        <v>1380</v>
      </c>
      <c r="AF30" s="11">
        <v>0</v>
      </c>
      <c r="AG30" s="11">
        <f>SUM(AB30:AF30)</f>
      </c>
      <c r="AH30" s="3"/>
      <c r="AI30" s="3"/>
      <c r="AJ30" s="3"/>
      <c r="AK30" s="3"/>
      <c r="AL30" s="3"/>
      <c r="AO30" s="3" t="s">
        <v>161</v>
      </c>
      <c r="AP30" s="5">
        <f>Q30</f>
      </c>
    </row>
    <row r="31" ht="18" customHeight="1" spans="1:42" x14ac:dyDescent="0.25">
      <c r="A31" s="3" t="s">
        <v>38</v>
      </c>
      <c r="B31" s="3" t="s">
        <v>39</v>
      </c>
      <c r="C31" s="3" t="s">
        <v>40</v>
      </c>
      <c r="D31" s="3" t="s">
        <v>198</v>
      </c>
      <c r="E31" s="3" t="s">
        <v>53</v>
      </c>
      <c r="F31" s="3" t="s">
        <v>224</v>
      </c>
      <c r="G31" s="12" t="s">
        <v>61</v>
      </c>
      <c r="H31" s="3" t="s">
        <v>225</v>
      </c>
      <c r="I31" s="3" t="s">
        <v>226</v>
      </c>
      <c r="J31" s="3" t="s">
        <v>227</v>
      </c>
      <c r="K31" s="4" t="s">
        <v>148</v>
      </c>
      <c r="L31" s="4" t="s">
        <v>49</v>
      </c>
      <c r="M31" s="4" t="s">
        <v>82</v>
      </c>
      <c r="N31" s="12" t="s">
        <v>61</v>
      </c>
      <c r="O31" s="5">
        <v>0</v>
      </c>
      <c r="P31" s="5">
        <v>0</v>
      </c>
      <c r="Q31" s="5">
        <v>0</v>
      </c>
      <c r="R31" s="6">
        <v>200</v>
      </c>
      <c r="S31" s="5">
        <f>IF(Q31-R31&lt;0,"0",Q31-R31)</f>
      </c>
      <c r="T31" s="5">
        <v>0</v>
      </c>
      <c r="U31" s="7">
        <v>46177.58333333333</v>
      </c>
      <c r="V31" s="7">
        <v>46177.58333333333</v>
      </c>
      <c r="W31" s="8">
        <f>V31-U31</f>
      </c>
      <c r="X31" s="9">
        <v>0.25</v>
      </c>
      <c r="Y31" s="8">
        <f>IF(W31-X31&lt;0,"00:00:00",W31-X31)</f>
      </c>
      <c r="Z31" s="10">
        <v>145</v>
      </c>
      <c r="AA31" s="10">
        <v>0</v>
      </c>
      <c r="AB31" s="11">
        <f>Y31*Z31*24</f>
      </c>
      <c r="AC31" s="11">
        <f>S31*AA31</f>
      </c>
      <c r="AD31" s="11">
        <f>T31*AA31</f>
      </c>
      <c r="AE31" s="10">
        <v>690</v>
      </c>
      <c r="AF31" s="11">
        <v>0</v>
      </c>
      <c r="AG31" s="11">
        <f>SUM(AB31:AF31)</f>
      </c>
      <c r="AH31" s="3"/>
      <c r="AI31" s="3"/>
      <c r="AJ31" s="3"/>
      <c r="AK31" s="3"/>
      <c r="AL31" s="3"/>
      <c r="AO31" s="3" t="s">
        <v>161</v>
      </c>
      <c r="AP31" s="5">
        <f>Q31</f>
      </c>
    </row>
    <row r="32" ht="18" customHeight="1" spans="1:42" x14ac:dyDescent="0.25">
      <c r="A32" s="3" t="s">
        <v>38</v>
      </c>
      <c r="B32" s="3" t="s">
        <v>39</v>
      </c>
      <c r="C32" s="3" t="s">
        <v>40</v>
      </c>
      <c r="D32" s="3" t="s">
        <v>41</v>
      </c>
      <c r="E32" s="3" t="s">
        <v>155</v>
      </c>
      <c r="F32" s="3" t="s">
        <v>228</v>
      </c>
      <c r="G32" s="12" t="s">
        <v>61</v>
      </c>
      <c r="H32" s="3" t="s">
        <v>229</v>
      </c>
      <c r="I32" s="3" t="s">
        <v>218</v>
      </c>
      <c r="J32" s="3" t="s">
        <v>230</v>
      </c>
      <c r="K32" s="4" t="s">
        <v>220</v>
      </c>
      <c r="L32" s="4" t="s">
        <v>70</v>
      </c>
      <c r="M32" s="4" t="s">
        <v>82</v>
      </c>
      <c r="N32" s="12" t="s">
        <v>61</v>
      </c>
      <c r="O32" s="5">
        <v>34639</v>
      </c>
      <c r="P32" s="5">
        <v>34648</v>
      </c>
      <c r="Q32" s="5">
        <f>P32-O32</f>
      </c>
      <c r="R32" s="6">
        <v>100</v>
      </c>
      <c r="S32" s="5">
        <f>IF(Q32-R32&lt;0,"0",Q32-R32)</f>
      </c>
      <c r="T32" s="5">
        <v>0</v>
      </c>
      <c r="U32" s="7">
        <v>46178.29166666667</v>
      </c>
      <c r="V32" s="7">
        <v>46178.45704861111</v>
      </c>
      <c r="W32" s="8">
        <f>V32-U32</f>
      </c>
      <c r="X32" s="9">
        <v>0.125</v>
      </c>
      <c r="Y32" s="8">
        <f>IF(W32-X32&lt;0,"00:00:00",W32-X32)</f>
      </c>
      <c r="Z32" s="10">
        <v>145</v>
      </c>
      <c r="AA32" s="10">
        <v>0</v>
      </c>
      <c r="AB32" s="11">
        <f>Y32*Z32*24</f>
      </c>
      <c r="AC32" s="11">
        <f>S32*AA32</f>
      </c>
      <c r="AD32" s="11">
        <f>T32*AA32</f>
      </c>
      <c r="AE32" s="10">
        <v>690</v>
      </c>
      <c r="AF32" s="11">
        <v>0</v>
      </c>
      <c r="AG32" s="11">
        <f>SUM(AB32:AF32)</f>
      </c>
      <c r="AH32" s="3"/>
      <c r="AI32" s="3"/>
      <c r="AJ32" s="3"/>
      <c r="AK32" s="3"/>
      <c r="AL32" s="3"/>
      <c r="AO32" s="3" t="s">
        <v>62</v>
      </c>
      <c r="AP32" s="5">
        <f>Q32</f>
      </c>
    </row>
    <row r="33" ht="18" customHeight="1" spans="1:42" x14ac:dyDescent="0.25">
      <c r="A33" s="3" t="s">
        <v>38</v>
      </c>
      <c r="B33" s="3" t="s">
        <v>39</v>
      </c>
      <c r="C33" s="3" t="s">
        <v>40</v>
      </c>
      <c r="D33" s="3" t="s">
        <v>41</v>
      </c>
      <c r="E33" s="3" t="s">
        <v>231</v>
      </c>
      <c r="F33" s="3" t="s">
        <v>232</v>
      </c>
      <c r="G33" s="12" t="s">
        <v>61</v>
      </c>
      <c r="H33" s="3" t="s">
        <v>233</v>
      </c>
      <c r="I33" s="3" t="s">
        <v>234</v>
      </c>
      <c r="J33" s="3" t="s">
        <v>235</v>
      </c>
      <c r="K33" s="4" t="s">
        <v>220</v>
      </c>
      <c r="L33" s="4" t="s">
        <v>70</v>
      </c>
      <c r="M33" s="4" t="s">
        <v>60</v>
      </c>
      <c r="N33" s="12" t="s">
        <v>61</v>
      </c>
      <c r="O33" s="5">
        <v>172700</v>
      </c>
      <c r="P33" s="5">
        <v>172701</v>
      </c>
      <c r="Q33" s="5">
        <f>P33-O33</f>
      </c>
      <c r="R33" s="6">
        <v>100</v>
      </c>
      <c r="S33" s="5">
        <f>IF(Q33-R33&lt;0,"0",Q33-R33)</f>
      </c>
      <c r="T33" s="5">
        <v>0</v>
      </c>
      <c r="U33" s="7">
        <v>46178.29166666667</v>
      </c>
      <c r="V33" s="7">
        <v>46178.365949074076</v>
      </c>
      <c r="W33" s="8">
        <f>V33-U33</f>
      </c>
      <c r="X33" s="9">
        <v>0.125</v>
      </c>
      <c r="Y33" s="8">
        <f>IF(W33-X33&lt;0,"00:00:00",W33-X33)</f>
      </c>
      <c r="Z33" s="10">
        <v>145</v>
      </c>
      <c r="AA33" s="10">
        <v>0</v>
      </c>
      <c r="AB33" s="11">
        <f>Y33*Z33*24</f>
      </c>
      <c r="AC33" s="11">
        <f>S33*AA33</f>
      </c>
      <c r="AD33" s="11">
        <f>T33*AA33</f>
      </c>
      <c r="AE33" s="10">
        <v>690</v>
      </c>
      <c r="AF33" s="11">
        <v>0</v>
      </c>
      <c r="AG33" s="11">
        <f>SUM(AB33:AF33)</f>
      </c>
      <c r="AH33" s="3"/>
      <c r="AI33" s="3"/>
      <c r="AJ33" s="3"/>
      <c r="AK33" s="3"/>
      <c r="AL33" s="3"/>
      <c r="AO33" s="3" t="s">
        <v>62</v>
      </c>
      <c r="AP33" s="5">
        <f>Q33</f>
      </c>
    </row>
    <row r="34" ht="18" customHeight="1" spans="1:42" x14ac:dyDescent="0.25">
      <c r="A34" s="3" t="s">
        <v>38</v>
      </c>
      <c r="B34" s="3" t="s">
        <v>39</v>
      </c>
      <c r="C34" s="3" t="s">
        <v>40</v>
      </c>
      <c r="D34" s="3" t="s">
        <v>41</v>
      </c>
      <c r="E34" s="3" t="s">
        <v>231</v>
      </c>
      <c r="F34" s="3" t="s">
        <v>236</v>
      </c>
      <c r="G34" s="12" t="s">
        <v>61</v>
      </c>
      <c r="H34" s="3" t="s">
        <v>237</v>
      </c>
      <c r="I34" s="3" t="s">
        <v>238</v>
      </c>
      <c r="J34" s="12" t="s">
        <v>61</v>
      </c>
      <c r="K34" s="4" t="s">
        <v>220</v>
      </c>
      <c r="L34" s="4" t="s">
        <v>70</v>
      </c>
      <c r="M34" s="4" t="s">
        <v>60</v>
      </c>
      <c r="N34" s="12" t="s">
        <v>61</v>
      </c>
      <c r="O34" s="5">
        <v>268959</v>
      </c>
      <c r="P34" s="5">
        <v>268959</v>
      </c>
      <c r="Q34" s="5">
        <v>300</v>
      </c>
      <c r="R34" s="6">
        <v>300</v>
      </c>
      <c r="S34" s="5">
        <f>IF(Q34-R34&lt;0,"0",Q34-R34)</f>
      </c>
      <c r="T34" s="5">
        <v>0</v>
      </c>
      <c r="U34" s="7">
        <v>46178.29166666667</v>
      </c>
      <c r="V34" s="7">
        <v>46178.331192129626</v>
      </c>
      <c r="W34" s="8">
        <f>V34-U34</f>
      </c>
      <c r="X34" s="9">
        <v>0.2916666666666667</v>
      </c>
      <c r="Y34" s="8">
        <f>IF(W34-X34&lt;0,"00:00:00",W34-X34)</f>
      </c>
      <c r="Z34" s="10">
        <v>145</v>
      </c>
      <c r="AA34" s="10">
        <v>0</v>
      </c>
      <c r="AB34" s="11">
        <f>Y34*Z34*24</f>
      </c>
      <c r="AC34" s="11">
        <f>S34*AA34</f>
      </c>
      <c r="AD34" s="11">
        <f>T34*AA34</f>
      </c>
      <c r="AE34" s="10">
        <v>2070</v>
      </c>
      <c r="AF34" s="11">
        <v>0</v>
      </c>
      <c r="AG34" s="11">
        <f>SUM(AB34:AF34)</f>
      </c>
      <c r="AH34" s="3"/>
      <c r="AI34" s="3"/>
      <c r="AJ34" s="3"/>
      <c r="AK34" s="3"/>
      <c r="AL34" s="3"/>
      <c r="AO34" s="3" t="s">
        <v>239</v>
      </c>
      <c r="AP34" s="5">
        <f>Q34</f>
      </c>
    </row>
    <row r="35" ht="18" customHeight="1" spans="1:42" x14ac:dyDescent="0.25">
      <c r="A35" s="3" t="s">
        <v>38</v>
      </c>
      <c r="B35" s="3" t="s">
        <v>39</v>
      </c>
      <c r="C35" s="3" t="s">
        <v>40</v>
      </c>
      <c r="D35" s="3" t="s">
        <v>41</v>
      </c>
      <c r="E35" s="3" t="s">
        <v>149</v>
      </c>
      <c r="F35" s="3" t="s">
        <v>240</v>
      </c>
      <c r="G35" s="12" t="s">
        <v>61</v>
      </c>
      <c r="H35" s="3" t="s">
        <v>241</v>
      </c>
      <c r="I35" s="3" t="s">
        <v>242</v>
      </c>
      <c r="J35" s="3" t="s">
        <v>243</v>
      </c>
      <c r="K35" s="4" t="s">
        <v>153</v>
      </c>
      <c r="L35" s="4" t="s">
        <v>49</v>
      </c>
      <c r="M35" s="4" t="s">
        <v>148</v>
      </c>
      <c r="N35" s="3" t="s">
        <v>49</v>
      </c>
      <c r="O35" s="5">
        <v>114662</v>
      </c>
      <c r="P35" s="5">
        <v>114769</v>
      </c>
      <c r="Q35" s="5">
        <f>P35-O35</f>
      </c>
      <c r="R35" s="6">
        <v>100</v>
      </c>
      <c r="S35" s="5">
        <f>IF(Q35-R35&lt;0,"0",Q35-R35)</f>
      </c>
      <c r="T35" s="5">
        <v>0</v>
      </c>
      <c r="U35" s="7">
        <v>46177.84027777778</v>
      </c>
      <c r="V35" s="7">
        <v>46177.91652777778</v>
      </c>
      <c r="W35" s="8">
        <f>V35-U35</f>
      </c>
      <c r="X35" s="9">
        <v>0.125</v>
      </c>
      <c r="Y35" s="8">
        <f>IF(W35-X35&lt;0,"00:00:00",W35-X35)</f>
      </c>
      <c r="Z35" s="10">
        <v>145</v>
      </c>
      <c r="AA35" s="10">
        <v>0</v>
      </c>
      <c r="AB35" s="11">
        <f>Y35*Z35*24</f>
      </c>
      <c r="AC35" s="11">
        <f>S35*AA35</f>
      </c>
      <c r="AD35" s="11">
        <f>T35*AA35</f>
      </c>
      <c r="AE35" s="10">
        <v>690</v>
      </c>
      <c r="AF35" s="11">
        <v>28.4</v>
      </c>
      <c r="AG35" s="11">
        <f>SUM(AB35:AF35)</f>
      </c>
      <c r="AH35" s="3"/>
      <c r="AI35" s="3"/>
      <c r="AJ35" s="3"/>
      <c r="AK35" s="3"/>
      <c r="AL35" s="3"/>
      <c r="AO35" s="3" t="s">
        <v>154</v>
      </c>
      <c r="AP35" s="5">
        <f>Q35</f>
      </c>
    </row>
    <row r="36" ht="18" customHeight="1" spans="1:42" x14ac:dyDescent="0.25">
      <c r="A36" s="3" t="s">
        <v>38</v>
      </c>
      <c r="B36" s="3" t="s">
        <v>39</v>
      </c>
      <c r="C36" s="3" t="s">
        <v>40</v>
      </c>
      <c r="D36" s="3" t="s">
        <v>41</v>
      </c>
      <c r="E36" s="3" t="s">
        <v>53</v>
      </c>
      <c r="F36" s="3" t="s">
        <v>244</v>
      </c>
      <c r="G36" s="12" t="s">
        <v>61</v>
      </c>
      <c r="H36" s="3" t="s">
        <v>245</v>
      </c>
      <c r="I36" s="3" t="s">
        <v>140</v>
      </c>
      <c r="J36" s="3" t="s">
        <v>227</v>
      </c>
      <c r="K36" s="4" t="s">
        <v>148</v>
      </c>
      <c r="L36" s="4" t="s">
        <v>49</v>
      </c>
      <c r="M36" s="4" t="s">
        <v>82</v>
      </c>
      <c r="N36" s="12" t="s">
        <v>61</v>
      </c>
      <c r="O36" s="5">
        <v>52124</v>
      </c>
      <c r="P36" s="5">
        <v>52324</v>
      </c>
      <c r="Q36" s="5">
        <f>P36-O36</f>
      </c>
      <c r="R36" s="6">
        <v>200</v>
      </c>
      <c r="S36" s="5">
        <f>IF(Q36-R36&lt;0,"0",Q36-R36)</f>
      </c>
      <c r="T36" s="5">
        <v>0</v>
      </c>
      <c r="U36" s="7">
        <v>46178.08333333333</v>
      </c>
      <c r="V36" s="7">
        <v>46178.2177662037</v>
      </c>
      <c r="W36" s="8">
        <f>V36-U36</f>
      </c>
      <c r="X36" s="9">
        <v>0.25</v>
      </c>
      <c r="Y36" s="8">
        <f>IF(W36-X36&lt;0,"00:00:00",W36-X36)</f>
      </c>
      <c r="Z36" s="10">
        <v>145</v>
      </c>
      <c r="AA36" s="10">
        <v>0</v>
      </c>
      <c r="AB36" s="11">
        <f>Y36*Z36*24</f>
      </c>
      <c r="AC36" s="11">
        <f>S36*AA36</f>
      </c>
      <c r="AD36" s="11">
        <f>T36*AA36</f>
      </c>
      <c r="AE36" s="10">
        <v>1380</v>
      </c>
      <c r="AF36" s="11">
        <v>35</v>
      </c>
      <c r="AG36" s="11">
        <f>SUM(AB36:AF36)</f>
      </c>
      <c r="AH36" s="3"/>
      <c r="AI36" s="3"/>
      <c r="AJ36" s="3"/>
      <c r="AK36" s="3"/>
      <c r="AL36" s="3"/>
      <c r="AO36" s="3" t="s">
        <v>161</v>
      </c>
      <c r="AP36" s="5">
        <f>Q36</f>
      </c>
    </row>
    <row r="37" ht="18" customHeight="1" spans="1:42" x14ac:dyDescent="0.25">
      <c r="A37" s="3" t="s">
        <v>38</v>
      </c>
      <c r="B37" s="3" t="s">
        <v>39</v>
      </c>
      <c r="C37" s="3" t="s">
        <v>40</v>
      </c>
      <c r="D37" s="3" t="s">
        <v>41</v>
      </c>
      <c r="E37" s="3" t="s">
        <v>53</v>
      </c>
      <c r="F37" s="3" t="s">
        <v>246</v>
      </c>
      <c r="G37" s="12" t="s">
        <v>61</v>
      </c>
      <c r="H37" s="3" t="s">
        <v>247</v>
      </c>
      <c r="I37" s="3" t="s">
        <v>248</v>
      </c>
      <c r="J37" s="3" t="s">
        <v>249</v>
      </c>
      <c r="K37" s="4" t="s">
        <v>250</v>
      </c>
      <c r="L37" s="4" t="s">
        <v>49</v>
      </c>
      <c r="M37" s="4" t="s">
        <v>82</v>
      </c>
      <c r="N37" s="12" t="s">
        <v>61</v>
      </c>
      <c r="O37" s="5">
        <v>28371</v>
      </c>
      <c r="P37" s="5">
        <v>28441</v>
      </c>
      <c r="Q37" s="5">
        <f>P37-O37</f>
      </c>
      <c r="R37" s="6">
        <v>100</v>
      </c>
      <c r="S37" s="5">
        <f>IF(Q37-R37&lt;0,"0",Q37-R37)</f>
      </c>
      <c r="T37" s="5">
        <v>0</v>
      </c>
      <c r="U37" s="7">
        <v>46178.4375</v>
      </c>
      <c r="V37" s="7">
        <v>46178.481192129635</v>
      </c>
      <c r="W37" s="8">
        <f>V37-U37</f>
      </c>
      <c r="X37" s="9">
        <v>0.125</v>
      </c>
      <c r="Y37" s="8">
        <f>IF(W37-X37&lt;0,"00:00:00",W37-X37)</f>
      </c>
      <c r="Z37" s="10">
        <v>145</v>
      </c>
      <c r="AA37" s="10">
        <v>0</v>
      </c>
      <c r="AB37" s="11">
        <f>Y37*Z37*24</f>
      </c>
      <c r="AC37" s="11">
        <f>S37*AA37</f>
      </c>
      <c r="AD37" s="11">
        <f>T37*AA37</f>
      </c>
      <c r="AE37" s="10">
        <v>690</v>
      </c>
      <c r="AF37" s="11">
        <v>0</v>
      </c>
      <c r="AG37" s="11">
        <f>SUM(AB37:AF37)</f>
      </c>
      <c r="AH37" s="3"/>
      <c r="AI37" s="3"/>
      <c r="AJ37" s="3"/>
      <c r="AK37" s="3"/>
      <c r="AL37" s="3"/>
      <c r="AO37" s="3" t="s">
        <v>62</v>
      </c>
      <c r="AP37" s="5">
        <f>Q37</f>
      </c>
    </row>
    <row r="38" ht="18" customHeight="1" spans="1:42" x14ac:dyDescent="0.25">
      <c r="A38" s="3" t="s">
        <v>38</v>
      </c>
      <c r="B38" s="3" t="s">
        <v>39</v>
      </c>
      <c r="C38" s="3" t="s">
        <v>40</v>
      </c>
      <c r="D38" s="3" t="s">
        <v>41</v>
      </c>
      <c r="E38" s="3" t="s">
        <v>251</v>
      </c>
      <c r="F38" s="3" t="s">
        <v>252</v>
      </c>
      <c r="G38" s="12" t="s">
        <v>61</v>
      </c>
      <c r="H38" s="3" t="s">
        <v>253</v>
      </c>
      <c r="I38" s="3" t="s">
        <v>165</v>
      </c>
      <c r="J38" s="3" t="s">
        <v>254</v>
      </c>
      <c r="K38" s="4" t="s">
        <v>255</v>
      </c>
      <c r="L38" s="4" t="s">
        <v>168</v>
      </c>
      <c r="M38" s="4" t="s">
        <v>256</v>
      </c>
      <c r="N38" s="3" t="s">
        <v>168</v>
      </c>
      <c r="O38" s="5">
        <v>257165</v>
      </c>
      <c r="P38" s="5">
        <v>257223</v>
      </c>
      <c r="Q38" s="5">
        <f>P38-O38</f>
      </c>
      <c r="R38" s="6">
        <v>100</v>
      </c>
      <c r="S38" s="5">
        <f>IF(Q38-R38&lt;0,"0",Q38-R38)</f>
      </c>
      <c r="T38" s="5">
        <v>0</v>
      </c>
      <c r="U38" s="7">
        <v>46178.25</v>
      </c>
      <c r="V38" s="7">
        <v>46178.5600462963</v>
      </c>
      <c r="W38" s="8">
        <f>V38-U38</f>
      </c>
      <c r="X38" s="9">
        <v>0.125</v>
      </c>
      <c r="Y38" s="8">
        <f>IF(W38-X38&lt;0,"00:00:00",W38-X38)</f>
      </c>
      <c r="Z38" s="10">
        <v>145</v>
      </c>
      <c r="AA38" s="10">
        <v>0</v>
      </c>
      <c r="AB38" s="11">
        <f>Y38*Z38*24</f>
      </c>
      <c r="AC38" s="11">
        <f>S38*AA38</f>
      </c>
      <c r="AD38" s="11">
        <f>T38*AA38</f>
      </c>
      <c r="AE38" s="10">
        <v>690</v>
      </c>
      <c r="AF38" s="11">
        <v>0</v>
      </c>
      <c r="AG38" s="11">
        <f>SUM(AB38:AF38)</f>
      </c>
      <c r="AH38" s="3"/>
      <c r="AI38" s="3"/>
      <c r="AJ38" s="3"/>
      <c r="AK38" s="3"/>
      <c r="AL38" s="3"/>
      <c r="AO38" s="3" t="s">
        <v>257</v>
      </c>
      <c r="AP38" s="5">
        <f>Q38</f>
      </c>
    </row>
    <row r="39" ht="18" customHeight="1" spans="1:42" x14ac:dyDescent="0.25">
      <c r="A39" s="3" t="s">
        <v>38</v>
      </c>
      <c r="B39" s="3" t="s">
        <v>39</v>
      </c>
      <c r="C39" s="3" t="s">
        <v>40</v>
      </c>
      <c r="D39" s="3" t="s">
        <v>41</v>
      </c>
      <c r="E39" s="3" t="s">
        <v>251</v>
      </c>
      <c r="F39" s="3" t="s">
        <v>258</v>
      </c>
      <c r="G39" s="12" t="s">
        <v>61</v>
      </c>
      <c r="H39" s="3" t="s">
        <v>259</v>
      </c>
      <c r="I39" s="3" t="s">
        <v>260</v>
      </c>
      <c r="J39" s="3" t="s">
        <v>261</v>
      </c>
      <c r="K39" s="4" t="s">
        <v>262</v>
      </c>
      <c r="L39" s="4" t="s">
        <v>168</v>
      </c>
      <c r="M39" s="4" t="s">
        <v>263</v>
      </c>
      <c r="N39" s="3" t="s">
        <v>168</v>
      </c>
      <c r="O39" s="5">
        <v>166559</v>
      </c>
      <c r="P39" s="5">
        <v>166631</v>
      </c>
      <c r="Q39" s="5">
        <f>P39-O39</f>
      </c>
      <c r="R39" s="6">
        <v>100</v>
      </c>
      <c r="S39" s="5">
        <f>IF(Q39-R39&lt;0,"0",Q39-R39)</f>
      </c>
      <c r="T39" s="5">
        <v>0</v>
      </c>
      <c r="U39" s="7">
        <v>46181.41666666667</v>
      </c>
      <c r="V39" s="7">
        <v>46181.574791666666</v>
      </c>
      <c r="W39" s="8">
        <f>V39-U39</f>
      </c>
      <c r="X39" s="9">
        <v>0.125</v>
      </c>
      <c r="Y39" s="8">
        <f>IF(W39-X39&lt;0,"00:00:00",W39-X39)</f>
      </c>
      <c r="Z39" s="10">
        <v>145</v>
      </c>
      <c r="AA39" s="10">
        <v>0</v>
      </c>
      <c r="AB39" s="11">
        <f>Y39*Z39*24</f>
      </c>
      <c r="AC39" s="11">
        <f>S39*AA39</f>
      </c>
      <c r="AD39" s="11">
        <f>T39*AA39</f>
      </c>
      <c r="AE39" s="10">
        <v>690</v>
      </c>
      <c r="AF39" s="11">
        <v>5.4</v>
      </c>
      <c r="AG39" s="11">
        <f>SUM(AB39:AF39)</f>
      </c>
      <c r="AH39" s="3"/>
      <c r="AI39" s="3"/>
      <c r="AJ39" s="3"/>
      <c r="AK39" s="3"/>
      <c r="AL39" s="3"/>
      <c r="AO39" s="3" t="s">
        <v>264</v>
      </c>
      <c r="AP39" s="5">
        <f>Q39</f>
      </c>
    </row>
    <row r="40" ht="18" customHeight="1" spans="1:42" x14ac:dyDescent="0.25">
      <c r="A40" s="3" t="s">
        <v>38</v>
      </c>
      <c r="B40" s="3" t="s">
        <v>39</v>
      </c>
      <c r="C40" s="3" t="s">
        <v>40</v>
      </c>
      <c r="D40" s="3" t="s">
        <v>41</v>
      </c>
      <c r="E40" s="3" t="s">
        <v>251</v>
      </c>
      <c r="F40" s="3" t="s">
        <v>265</v>
      </c>
      <c r="G40" s="12" t="s">
        <v>61</v>
      </c>
      <c r="H40" s="3" t="s">
        <v>266</v>
      </c>
      <c r="I40" s="3" t="s">
        <v>182</v>
      </c>
      <c r="J40" s="3" t="s">
        <v>261</v>
      </c>
      <c r="K40" s="4" t="s">
        <v>262</v>
      </c>
      <c r="L40" s="4" t="s">
        <v>168</v>
      </c>
      <c r="M40" s="4" t="s">
        <v>263</v>
      </c>
      <c r="N40" s="3" t="s">
        <v>168</v>
      </c>
      <c r="O40" s="5">
        <v>93062</v>
      </c>
      <c r="P40" s="5">
        <v>93131</v>
      </c>
      <c r="Q40" s="5">
        <f>P40-O40</f>
      </c>
      <c r="R40" s="6">
        <v>100</v>
      </c>
      <c r="S40" s="5">
        <f>IF(Q40-R40&lt;0,"0",Q40-R40)</f>
      </c>
      <c r="T40" s="5">
        <v>0</v>
      </c>
      <c r="U40" s="7">
        <v>46181.41666666667</v>
      </c>
      <c r="V40" s="7">
        <v>46181.57390046296</v>
      </c>
      <c r="W40" s="8">
        <f>V40-U40</f>
      </c>
      <c r="X40" s="9">
        <v>0.125</v>
      </c>
      <c r="Y40" s="8">
        <f>IF(W40-X40&lt;0,"00:00:00",W40-X40)</f>
      </c>
      <c r="Z40" s="10">
        <v>145</v>
      </c>
      <c r="AA40" s="10">
        <v>0</v>
      </c>
      <c r="AB40" s="11">
        <f>Y40*Z40*24</f>
      </c>
      <c r="AC40" s="11">
        <f>S40*AA40</f>
      </c>
      <c r="AD40" s="11">
        <f>T40*AA40</f>
      </c>
      <c r="AE40" s="10">
        <v>690</v>
      </c>
      <c r="AF40" s="11">
        <v>5.4</v>
      </c>
      <c r="AG40" s="11">
        <f>SUM(AB40:AF40)</f>
      </c>
      <c r="AH40" s="3"/>
      <c r="AI40" s="3"/>
      <c r="AJ40" s="3"/>
      <c r="AK40" s="3"/>
      <c r="AL40" s="3"/>
      <c r="AO40" s="3" t="s">
        <v>264</v>
      </c>
      <c r="AP40" s="5">
        <f>Q40</f>
      </c>
    </row>
    <row r="41" ht="18" customHeight="1" spans="1:42" x14ac:dyDescent="0.25">
      <c r="A41" s="3" t="s">
        <v>38</v>
      </c>
      <c r="B41" s="3" t="s">
        <v>39</v>
      </c>
      <c r="C41" s="3" t="s">
        <v>40</v>
      </c>
      <c r="D41" s="3" t="s">
        <v>41</v>
      </c>
      <c r="E41" s="3" t="s">
        <v>84</v>
      </c>
      <c r="F41" s="3" t="s">
        <v>267</v>
      </c>
      <c r="G41" s="12" t="s">
        <v>61</v>
      </c>
      <c r="H41" s="3" t="s">
        <v>268</v>
      </c>
      <c r="I41" s="3" t="s">
        <v>269</v>
      </c>
      <c r="J41" s="3" t="s">
        <v>270</v>
      </c>
      <c r="K41" s="4" t="s">
        <v>271</v>
      </c>
      <c r="L41" s="4" t="s">
        <v>49</v>
      </c>
      <c r="M41" s="4" t="s">
        <v>272</v>
      </c>
      <c r="N41" s="12" t="s">
        <v>61</v>
      </c>
      <c r="O41" s="5">
        <v>36049</v>
      </c>
      <c r="P41" s="5">
        <v>36088</v>
      </c>
      <c r="Q41" s="5">
        <f>P41-O41</f>
      </c>
      <c r="R41" s="6">
        <v>100</v>
      </c>
      <c r="S41" s="5">
        <f>IF(Q41-R41&lt;0,"0",Q41-R41)</f>
      </c>
      <c r="T41" s="5">
        <v>0</v>
      </c>
      <c r="U41" s="7">
        <v>46181.60416666667</v>
      </c>
      <c r="V41" s="7">
        <v>46181.67391203703</v>
      </c>
      <c r="W41" s="8">
        <f>V41-U41</f>
      </c>
      <c r="X41" s="9">
        <v>0.25</v>
      </c>
      <c r="Y41" s="8">
        <f>IF(W41-X41&lt;0,"00:00:00",W41-X41)</f>
      </c>
      <c r="Z41" s="10">
        <v>145</v>
      </c>
      <c r="AA41" s="10">
        <v>0</v>
      </c>
      <c r="AB41" s="11">
        <f>Y41*Z41*24</f>
      </c>
      <c r="AC41" s="11">
        <f>S41*AA41</f>
      </c>
      <c r="AD41" s="11">
        <f>T41*AA41</f>
      </c>
      <c r="AE41" s="10">
        <v>690</v>
      </c>
      <c r="AF41" s="11">
        <v>13.6</v>
      </c>
      <c r="AG41" s="11">
        <f>SUM(AB41:AF41)</f>
      </c>
      <c r="AH41" s="3"/>
      <c r="AI41" s="3"/>
      <c r="AJ41" s="3"/>
      <c r="AK41" s="3"/>
      <c r="AL41" s="3"/>
      <c r="AO41" s="3" t="s">
        <v>62</v>
      </c>
      <c r="AP41" s="5">
        <f>Q41</f>
      </c>
    </row>
    <row r="42" ht="18" customHeight="1" spans="1:42" x14ac:dyDescent="0.25">
      <c r="A42" s="3" t="s">
        <v>38</v>
      </c>
      <c r="B42" s="3" t="s">
        <v>39</v>
      </c>
      <c r="C42" s="3" t="s">
        <v>40</v>
      </c>
      <c r="D42" s="3" t="s">
        <v>41</v>
      </c>
      <c r="E42" s="3" t="s">
        <v>192</v>
      </c>
      <c r="F42" s="3" t="s">
        <v>273</v>
      </c>
      <c r="G42" s="12" t="s">
        <v>61</v>
      </c>
      <c r="H42" s="3" t="s">
        <v>274</v>
      </c>
      <c r="I42" s="3" t="s">
        <v>275</v>
      </c>
      <c r="J42" s="3" t="s">
        <v>276</v>
      </c>
      <c r="K42" s="4" t="s">
        <v>277</v>
      </c>
      <c r="L42" s="4" t="s">
        <v>51</v>
      </c>
      <c r="M42" s="4" t="s">
        <v>82</v>
      </c>
      <c r="N42" s="12" t="s">
        <v>61</v>
      </c>
      <c r="O42" s="5">
        <v>108329</v>
      </c>
      <c r="P42" s="5">
        <v>108447</v>
      </c>
      <c r="Q42" s="5">
        <f>P42-O42</f>
      </c>
      <c r="R42" s="6">
        <v>200</v>
      </c>
      <c r="S42" s="5">
        <f>IF(Q42-R42&lt;0,"0",Q42-R42)</f>
      </c>
      <c r="T42" s="5">
        <v>0</v>
      </c>
      <c r="U42" s="7">
        <v>46178.99791666667</v>
      </c>
      <c r="V42" s="7">
        <v>46179.08880787037</v>
      </c>
      <c r="W42" s="8">
        <f>V42-U42</f>
      </c>
      <c r="X42" s="9">
        <v>0.25</v>
      </c>
      <c r="Y42" s="8">
        <f>IF(W42-X42&lt;0,"00:00:00",W42-X42)</f>
      </c>
      <c r="Z42" s="10">
        <v>145</v>
      </c>
      <c r="AA42" s="10">
        <v>0</v>
      </c>
      <c r="AB42" s="11">
        <f>Y42*Z42*24</f>
      </c>
      <c r="AC42" s="11">
        <f>S42*AA42</f>
      </c>
      <c r="AD42" s="11">
        <f>T42*AA42</f>
      </c>
      <c r="AE42" s="10">
        <v>1380</v>
      </c>
      <c r="AF42" s="11">
        <v>0</v>
      </c>
      <c r="AG42" s="11">
        <f>SUM(AB42:AF42)</f>
      </c>
      <c r="AH42" s="3"/>
      <c r="AI42" s="3"/>
      <c r="AJ42" s="3"/>
      <c r="AK42" s="3"/>
      <c r="AL42" s="3"/>
      <c r="AO42" s="3" t="s">
        <v>161</v>
      </c>
      <c r="AP42" s="5">
        <f>Q42</f>
      </c>
    </row>
    <row r="43" ht="18" customHeight="1" spans="1:42" x14ac:dyDescent="0.25">
      <c r="A43" s="3" t="s">
        <v>38</v>
      </c>
      <c r="B43" s="3" t="s">
        <v>39</v>
      </c>
      <c r="C43" s="3" t="s">
        <v>40</v>
      </c>
      <c r="D43" s="3" t="s">
        <v>41</v>
      </c>
      <c r="E43" s="3" t="s">
        <v>114</v>
      </c>
      <c r="F43" s="3" t="s">
        <v>278</v>
      </c>
      <c r="G43" s="12" t="s">
        <v>61</v>
      </c>
      <c r="H43" s="3" t="s">
        <v>279</v>
      </c>
      <c r="I43" s="3" t="s">
        <v>280</v>
      </c>
      <c r="J43" s="3" t="s">
        <v>281</v>
      </c>
      <c r="K43" s="4" t="s">
        <v>81</v>
      </c>
      <c r="L43" s="4" t="s">
        <v>49</v>
      </c>
      <c r="M43" s="4" t="s">
        <v>282</v>
      </c>
      <c r="N43" s="12" t="s">
        <v>61</v>
      </c>
      <c r="O43" s="5">
        <v>18255</v>
      </c>
      <c r="P43" s="5">
        <v>19058</v>
      </c>
      <c r="Q43" s="5">
        <f>P43-O43</f>
      </c>
      <c r="R43" s="6">
        <v>758</v>
      </c>
      <c r="S43" s="5">
        <f>IF(Q43-R43&lt;0,"0",Q43-R43)</f>
      </c>
      <c r="T43" s="5">
        <v>0</v>
      </c>
      <c r="U43" s="7">
        <v>46179.25</v>
      </c>
      <c r="V43" s="7">
        <v>46181.173680555556</v>
      </c>
      <c r="W43" s="8">
        <f>V43-U43</f>
      </c>
      <c r="X43" s="9">
        <v>1.4166666666666667</v>
      </c>
      <c r="Y43" s="8">
        <f>IF(W43-X43&lt;0,"00:00:00",W43-X43)</f>
      </c>
      <c r="Z43" s="10">
        <v>145</v>
      </c>
      <c r="AA43" s="10">
        <v>0</v>
      </c>
      <c r="AB43" s="11">
        <f>Y43*Z43*24</f>
      </c>
      <c r="AC43" s="11">
        <f>S43*AA43</f>
      </c>
      <c r="AD43" s="11">
        <f>T43*AA43</f>
      </c>
      <c r="AE43" s="10">
        <v>7412.45</v>
      </c>
      <c r="AF43" s="11">
        <v>79</v>
      </c>
      <c r="AG43" s="11">
        <f>SUM(AB43:AF43)</f>
      </c>
      <c r="AH43" s="3"/>
      <c r="AI43" s="3"/>
      <c r="AJ43" s="3"/>
      <c r="AK43" s="3"/>
      <c r="AL43" s="3"/>
      <c r="AO43" s="3" t="s">
        <v>120</v>
      </c>
      <c r="AP43" s="5">
        <f>Q43</f>
      </c>
    </row>
    <row r="44" ht="18" customHeight="1" spans="1:42" x14ac:dyDescent="0.25">
      <c r="A44" s="3" t="s">
        <v>38</v>
      </c>
      <c r="B44" s="3" t="s">
        <v>39</v>
      </c>
      <c r="C44" s="3" t="s">
        <v>40</v>
      </c>
      <c r="D44" s="3" t="s">
        <v>41</v>
      </c>
      <c r="E44" s="3" t="s">
        <v>84</v>
      </c>
      <c r="F44" s="3" t="s">
        <v>283</v>
      </c>
      <c r="G44" s="12" t="s">
        <v>61</v>
      </c>
      <c r="H44" s="3" t="s">
        <v>284</v>
      </c>
      <c r="I44" s="3" t="s">
        <v>285</v>
      </c>
      <c r="J44" s="3" t="s">
        <v>286</v>
      </c>
      <c r="K44" s="4" t="s">
        <v>287</v>
      </c>
      <c r="L44" s="4" t="s">
        <v>49</v>
      </c>
      <c r="M44" s="4" t="s">
        <v>288</v>
      </c>
      <c r="N44" s="3" t="s">
        <v>49</v>
      </c>
      <c r="O44" s="5">
        <v>39442</v>
      </c>
      <c r="P44" s="5">
        <v>39482</v>
      </c>
      <c r="Q44" s="5">
        <f>P44-O44</f>
      </c>
      <c r="R44" s="6">
        <v>100</v>
      </c>
      <c r="S44" s="5">
        <f>IF(Q44-R44&lt;0,"0",Q44-R44)</f>
      </c>
      <c r="T44" s="5">
        <v>0</v>
      </c>
      <c r="U44" s="7">
        <v>46181.02083333333</v>
      </c>
      <c r="V44" s="7">
        <v>46181.07798611111</v>
      </c>
      <c r="W44" s="8">
        <f>V44-U44</f>
      </c>
      <c r="X44" s="9">
        <v>0.25</v>
      </c>
      <c r="Y44" s="8">
        <f>IF(W44-X44&lt;0,"00:00:00",W44-X44)</f>
      </c>
      <c r="Z44" s="10">
        <v>145</v>
      </c>
      <c r="AA44" s="10">
        <v>0</v>
      </c>
      <c r="AB44" s="11">
        <f>Y44*Z44*24</f>
      </c>
      <c r="AC44" s="11">
        <f>S44*AA44</f>
      </c>
      <c r="AD44" s="11">
        <f>T44*AA44</f>
      </c>
      <c r="AE44" s="10">
        <v>690</v>
      </c>
      <c r="AF44" s="11">
        <v>0</v>
      </c>
      <c r="AG44" s="11">
        <f>SUM(AB44:AF44)</f>
      </c>
      <c r="AH44" s="3"/>
      <c r="AI44" s="3"/>
      <c r="AJ44" s="3"/>
      <c r="AK44" s="3"/>
      <c r="AL44" s="3"/>
      <c r="AO44" s="3" t="s">
        <v>62</v>
      </c>
      <c r="AP44" s="5">
        <f>Q44</f>
      </c>
    </row>
    <row r="45" ht="18" customHeight="1" spans="1:42" x14ac:dyDescent="0.25">
      <c r="A45" s="3" t="s">
        <v>38</v>
      </c>
      <c r="B45" s="3" t="s">
        <v>39</v>
      </c>
      <c r="C45" s="3" t="s">
        <v>40</v>
      </c>
      <c r="D45" s="3" t="s">
        <v>41</v>
      </c>
      <c r="E45" s="3" t="s">
        <v>63</v>
      </c>
      <c r="F45" s="3" t="s">
        <v>289</v>
      </c>
      <c r="G45" s="12" t="s">
        <v>61</v>
      </c>
      <c r="H45" s="3" t="s">
        <v>290</v>
      </c>
      <c r="I45" s="3" t="s">
        <v>291</v>
      </c>
      <c r="J45" s="3" t="s">
        <v>292</v>
      </c>
      <c r="K45" s="4" t="s">
        <v>293</v>
      </c>
      <c r="L45" s="4" t="s">
        <v>70</v>
      </c>
      <c r="M45" s="4" t="s">
        <v>71</v>
      </c>
      <c r="N45" s="3" t="s">
        <v>70</v>
      </c>
      <c r="O45" s="5">
        <v>185885</v>
      </c>
      <c r="P45" s="5">
        <v>185892</v>
      </c>
      <c r="Q45" s="5">
        <f>P45-O45</f>
      </c>
      <c r="R45" s="6">
        <v>100</v>
      </c>
      <c r="S45" s="5">
        <f>IF(Q45-R45&lt;0,"0",Q45-R45)</f>
      </c>
      <c r="T45" s="5">
        <v>0</v>
      </c>
      <c r="U45" s="7">
        <v>46181.33333333333</v>
      </c>
      <c r="V45" s="7">
        <v>46181.45626157407</v>
      </c>
      <c r="W45" s="8">
        <f>V45-U45</f>
      </c>
      <c r="X45" s="9">
        <v>0.25</v>
      </c>
      <c r="Y45" s="8">
        <f>IF(W45-X45&lt;0,"00:00:00",W45-X45)</f>
      </c>
      <c r="Z45" s="10">
        <v>145</v>
      </c>
      <c r="AA45" s="10">
        <v>0</v>
      </c>
      <c r="AB45" s="11">
        <f>Y45*Z45*24</f>
      </c>
      <c r="AC45" s="11">
        <f>S45*AA45</f>
      </c>
      <c r="AD45" s="11">
        <f>T45*AA45</f>
      </c>
      <c r="AE45" s="10">
        <v>690</v>
      </c>
      <c r="AF45" s="11">
        <v>0</v>
      </c>
      <c r="AG45" s="11">
        <f>SUM(AB45:AF45)</f>
      </c>
      <c r="AH45" s="3"/>
      <c r="AI45" s="3"/>
      <c r="AJ45" s="3"/>
      <c r="AK45" s="3"/>
      <c r="AL45" s="3"/>
      <c r="AO45" s="3" t="s">
        <v>62</v>
      </c>
      <c r="AP45" s="5">
        <f>Q45</f>
      </c>
    </row>
    <row r="46" ht="18" customHeight="1" spans="1:42" x14ac:dyDescent="0.25">
      <c r="A46" s="3" t="s">
        <v>38</v>
      </c>
      <c r="B46" s="3" t="s">
        <v>39</v>
      </c>
      <c r="C46" s="3" t="s">
        <v>40</v>
      </c>
      <c r="D46" s="3" t="s">
        <v>41</v>
      </c>
      <c r="E46" s="3" t="s">
        <v>63</v>
      </c>
      <c r="F46" s="3" t="s">
        <v>294</v>
      </c>
      <c r="G46" s="12" t="s">
        <v>61</v>
      </c>
      <c r="H46" s="3" t="s">
        <v>295</v>
      </c>
      <c r="I46" s="3" t="s">
        <v>291</v>
      </c>
      <c r="J46" s="3" t="s">
        <v>296</v>
      </c>
      <c r="K46" s="4" t="s">
        <v>69</v>
      </c>
      <c r="L46" s="4" t="s">
        <v>70</v>
      </c>
      <c r="M46" s="4" t="s">
        <v>71</v>
      </c>
      <c r="N46" s="3" t="s">
        <v>70</v>
      </c>
      <c r="O46" s="5">
        <v>186333</v>
      </c>
      <c r="P46" s="5">
        <v>186340</v>
      </c>
      <c r="Q46" s="5">
        <f>P46-O46</f>
      </c>
      <c r="R46" s="6">
        <v>100</v>
      </c>
      <c r="S46" s="5">
        <f>IF(Q46-R46&lt;0,"0",Q46-R46)</f>
      </c>
      <c r="T46" s="5">
        <v>0</v>
      </c>
      <c r="U46" s="7">
        <v>46182.33333333333</v>
      </c>
      <c r="V46" s="7">
        <v>46182.38039351851</v>
      </c>
      <c r="W46" s="8">
        <f>V46-U46</f>
      </c>
      <c r="X46" s="9">
        <v>0.25</v>
      </c>
      <c r="Y46" s="8">
        <f>IF(W46-X46&lt;0,"00:00:00",W46-X46)</f>
      </c>
      <c r="Z46" s="10">
        <v>145</v>
      </c>
      <c r="AA46" s="10">
        <v>0</v>
      </c>
      <c r="AB46" s="11">
        <f>Y46*Z46*24</f>
      </c>
      <c r="AC46" s="11">
        <f>S46*AA46</f>
      </c>
      <c r="AD46" s="11">
        <f>T46*AA46</f>
      </c>
      <c r="AE46" s="10">
        <v>690</v>
      </c>
      <c r="AF46" s="11">
        <v>0</v>
      </c>
      <c r="AG46" s="11">
        <f>SUM(AB46:AF46)</f>
      </c>
      <c r="AH46" s="3"/>
      <c r="AI46" s="3"/>
      <c r="AJ46" s="3"/>
      <c r="AK46" s="3"/>
      <c r="AL46" s="3"/>
      <c r="AO46" s="3" t="s">
        <v>62</v>
      </c>
      <c r="AP46" s="5">
        <f>Q46</f>
      </c>
    </row>
    <row r="47" ht="18" customHeight="1" spans="1:42" x14ac:dyDescent="0.25">
      <c r="A47" s="3" t="s">
        <v>38</v>
      </c>
      <c r="B47" s="3" t="s">
        <v>39</v>
      </c>
      <c r="C47" s="3" t="s">
        <v>40</v>
      </c>
      <c r="D47" s="3" t="s">
        <v>41</v>
      </c>
      <c r="E47" s="3" t="s">
        <v>84</v>
      </c>
      <c r="F47" s="3" t="s">
        <v>297</v>
      </c>
      <c r="G47" s="12" t="s">
        <v>61</v>
      </c>
      <c r="H47" s="3" t="s">
        <v>298</v>
      </c>
      <c r="I47" s="3" t="s">
        <v>299</v>
      </c>
      <c r="J47" s="3" t="s">
        <v>300</v>
      </c>
      <c r="K47" s="4" t="s">
        <v>301</v>
      </c>
      <c r="L47" s="4" t="s">
        <v>49</v>
      </c>
      <c r="M47" s="4" t="s">
        <v>90</v>
      </c>
      <c r="N47" s="3" t="s">
        <v>49</v>
      </c>
      <c r="O47" s="5">
        <v>32681</v>
      </c>
      <c r="P47" s="5">
        <v>32714</v>
      </c>
      <c r="Q47" s="5">
        <f>P47-O47</f>
      </c>
      <c r="R47" s="6">
        <v>100</v>
      </c>
      <c r="S47" s="5">
        <f>IF(Q47-R47&lt;0,"0",Q47-R47)</f>
      </c>
      <c r="T47" s="5">
        <v>0</v>
      </c>
      <c r="U47" s="7">
        <v>46181.51041666667</v>
      </c>
      <c r="V47" s="7">
        <v>46181.5849537037</v>
      </c>
      <c r="W47" s="8">
        <f>V47-U47</f>
      </c>
      <c r="X47" s="9">
        <v>0.16666666666666666</v>
      </c>
      <c r="Y47" s="8">
        <f>IF(W47-X47&lt;0,"00:00:00",W47-X47)</f>
      </c>
      <c r="Z47" s="10">
        <v>145</v>
      </c>
      <c r="AA47" s="10">
        <v>0</v>
      </c>
      <c r="AB47" s="11">
        <f>Y47*Z47*24</f>
      </c>
      <c r="AC47" s="11">
        <f>S47*AA47</f>
      </c>
      <c r="AD47" s="11">
        <f>T47*AA47</f>
      </c>
      <c r="AE47" s="10">
        <v>690</v>
      </c>
      <c r="AF47" s="11">
        <v>0</v>
      </c>
      <c r="AG47" s="11">
        <f>SUM(AB47:AF47)</f>
      </c>
      <c r="AH47" s="3"/>
      <c r="AI47" s="3"/>
      <c r="AJ47" s="3"/>
      <c r="AK47" s="3"/>
      <c r="AL47" s="3"/>
      <c r="AO47" s="3" t="s">
        <v>302</v>
      </c>
      <c r="AP47" s="5">
        <f>Q47</f>
      </c>
    </row>
    <row r="48" ht="18" customHeight="1" spans="1:42" x14ac:dyDescent="0.25">
      <c r="A48" s="3" t="s">
        <v>38</v>
      </c>
      <c r="B48" s="3" t="s">
        <v>39</v>
      </c>
      <c r="C48" s="3" t="s">
        <v>40</v>
      </c>
      <c r="D48" s="3" t="s">
        <v>41</v>
      </c>
      <c r="E48" s="3" t="s">
        <v>303</v>
      </c>
      <c r="F48" s="3" t="s">
        <v>304</v>
      </c>
      <c r="G48" s="12" t="s">
        <v>61</v>
      </c>
      <c r="H48" s="3" t="s">
        <v>305</v>
      </c>
      <c r="I48" s="3" t="s">
        <v>117</v>
      </c>
      <c r="J48" s="3" t="s">
        <v>306</v>
      </c>
      <c r="K48" s="4" t="s">
        <v>307</v>
      </c>
      <c r="L48" s="4" t="s">
        <v>49</v>
      </c>
      <c r="M48" s="4" t="s">
        <v>81</v>
      </c>
      <c r="N48" s="3" t="s">
        <v>49</v>
      </c>
      <c r="O48" s="5">
        <v>10217</v>
      </c>
      <c r="P48" s="5">
        <v>10281</v>
      </c>
      <c r="Q48" s="5">
        <f>P48-O48</f>
      </c>
      <c r="R48" s="6">
        <v>100</v>
      </c>
      <c r="S48" s="5">
        <f>IF(Q48-R48&lt;0,"0",Q48-R48)</f>
      </c>
      <c r="T48" s="5">
        <v>0</v>
      </c>
      <c r="U48" s="7">
        <v>46181.51041666667</v>
      </c>
      <c r="V48" s="7">
        <v>46181.625</v>
      </c>
      <c r="W48" s="8">
        <f>V48-U48</f>
      </c>
      <c r="X48" s="9">
        <v>0.20833333333333334</v>
      </c>
      <c r="Y48" s="8">
        <f>IF(W48-X48&lt;0,"00:00:00",W48-X48)</f>
      </c>
      <c r="Z48" s="10">
        <v>145</v>
      </c>
      <c r="AA48" s="10">
        <v>0</v>
      </c>
      <c r="AB48" s="11">
        <f>Y48*Z48*24</f>
      </c>
      <c r="AC48" s="11">
        <f>S48*AA48</f>
      </c>
      <c r="AD48" s="11">
        <f>T48*AA48</f>
      </c>
      <c r="AE48" s="10">
        <v>690</v>
      </c>
      <c r="AF48" s="11">
        <v>5.9</v>
      </c>
      <c r="AG48" s="11">
        <f>SUM(AB48:AF48)</f>
      </c>
      <c r="AH48" s="3"/>
      <c r="AI48" s="3"/>
      <c r="AJ48" s="3"/>
      <c r="AK48" s="3"/>
      <c r="AL48" s="3"/>
      <c r="AO48" s="3" t="s">
        <v>308</v>
      </c>
      <c r="AP48" s="5">
        <f>Q48</f>
      </c>
    </row>
    <row r="49" ht="18" customHeight="1" spans="1:42" x14ac:dyDescent="0.25">
      <c r="A49" s="3" t="s">
        <v>38</v>
      </c>
      <c r="B49" s="3" t="s">
        <v>39</v>
      </c>
      <c r="C49" s="3" t="s">
        <v>40</v>
      </c>
      <c r="D49" s="3" t="s">
        <v>41</v>
      </c>
      <c r="E49" s="3" t="s">
        <v>192</v>
      </c>
      <c r="F49" s="3" t="s">
        <v>309</v>
      </c>
      <c r="G49" s="12" t="s">
        <v>61</v>
      </c>
      <c r="H49" s="3" t="s">
        <v>310</v>
      </c>
      <c r="I49" s="3" t="s">
        <v>46</v>
      </c>
      <c r="J49" s="3" t="s">
        <v>311</v>
      </c>
      <c r="K49" s="4" t="s">
        <v>312</v>
      </c>
      <c r="L49" s="4" t="s">
        <v>51</v>
      </c>
      <c r="M49" s="4" t="s">
        <v>82</v>
      </c>
      <c r="N49" s="12" t="s">
        <v>61</v>
      </c>
      <c r="O49" s="5">
        <v>26995</v>
      </c>
      <c r="P49" s="5">
        <v>27099</v>
      </c>
      <c r="Q49" s="5">
        <f>P49-O49</f>
      </c>
      <c r="R49" s="6">
        <v>137</v>
      </c>
      <c r="S49" s="5">
        <f>IF(Q49-R49&lt;0,"0",Q49-R49)</f>
      </c>
      <c r="T49" s="5">
        <v>0</v>
      </c>
      <c r="U49" s="7">
        <v>46181.52847222222</v>
      </c>
      <c r="V49" s="7">
        <v>46181.760717592595</v>
      </c>
      <c r="W49" s="8">
        <f>V49-U49</f>
      </c>
      <c r="X49" s="9">
        <v>0.20833333333333334</v>
      </c>
      <c r="Y49" s="8">
        <f>IF(W49-X49&lt;0,"00:00:00",W49-X49)</f>
      </c>
      <c r="Z49" s="10">
        <v>145</v>
      </c>
      <c r="AA49" s="10">
        <v>0</v>
      </c>
      <c r="AB49" s="11">
        <f>Y49*Z49*24</f>
      </c>
      <c r="AC49" s="11">
        <f>S49*AA49</f>
      </c>
      <c r="AD49" s="11">
        <f>T49*AA49</f>
      </c>
      <c r="AE49" s="10">
        <v>945.3</v>
      </c>
      <c r="AF49" s="11">
        <v>25</v>
      </c>
      <c r="AG49" s="11">
        <f>SUM(AB49:AF49)</f>
      </c>
      <c r="AH49" s="3"/>
      <c r="AI49" s="3"/>
      <c r="AJ49" s="3"/>
      <c r="AK49" s="3"/>
      <c r="AL49" s="3"/>
      <c r="AO49" s="3" t="s">
        <v>313</v>
      </c>
      <c r="AP49" s="5">
        <f>Q49</f>
      </c>
    </row>
    <row r="50" ht="18" customHeight="1" spans="1:42" x14ac:dyDescent="0.25">
      <c r="A50" s="3" t="s">
        <v>38</v>
      </c>
      <c r="B50" s="3" t="s">
        <v>39</v>
      </c>
      <c r="C50" s="3" t="s">
        <v>40</v>
      </c>
      <c r="D50" s="3" t="s">
        <v>41</v>
      </c>
      <c r="E50" s="3" t="s">
        <v>84</v>
      </c>
      <c r="F50" s="3" t="s">
        <v>314</v>
      </c>
      <c r="G50" s="12" t="s">
        <v>61</v>
      </c>
      <c r="H50" s="3" t="s">
        <v>315</v>
      </c>
      <c r="I50" s="3" t="s">
        <v>316</v>
      </c>
      <c r="J50" s="3" t="s">
        <v>317</v>
      </c>
      <c r="K50" s="4" t="s">
        <v>271</v>
      </c>
      <c r="L50" s="4" t="s">
        <v>49</v>
      </c>
      <c r="M50" s="4" t="s">
        <v>272</v>
      </c>
      <c r="N50" s="12" t="s">
        <v>61</v>
      </c>
      <c r="O50" s="5">
        <v>39262</v>
      </c>
      <c r="P50" s="5">
        <v>39300</v>
      </c>
      <c r="Q50" s="5">
        <f>P50-O50</f>
      </c>
      <c r="R50" s="6">
        <v>100</v>
      </c>
      <c r="S50" s="5">
        <f>IF(Q50-R50&lt;0,"0",Q50-R50)</f>
      </c>
      <c r="T50" s="5">
        <v>0</v>
      </c>
      <c r="U50" s="7">
        <v>46181.64583333333</v>
      </c>
      <c r="V50" s="7">
        <v>46181.7137037037</v>
      </c>
      <c r="W50" s="8">
        <f>V50-U50</f>
      </c>
      <c r="X50" s="9">
        <v>0.25</v>
      </c>
      <c r="Y50" s="8">
        <f>IF(W50-X50&lt;0,"00:00:00",W50-X50)</f>
      </c>
      <c r="Z50" s="10">
        <v>145</v>
      </c>
      <c r="AA50" s="10">
        <v>0</v>
      </c>
      <c r="AB50" s="11">
        <f>Y50*Z50*24</f>
      </c>
      <c r="AC50" s="11">
        <f>S50*AA50</f>
      </c>
      <c r="AD50" s="11">
        <f>T50*AA50</f>
      </c>
      <c r="AE50" s="10">
        <v>690</v>
      </c>
      <c r="AF50" s="11">
        <v>13.6</v>
      </c>
      <c r="AG50" s="11">
        <f>SUM(AB50:AF50)</f>
      </c>
      <c r="AH50" s="3"/>
      <c r="AI50" s="3"/>
      <c r="AJ50" s="3"/>
      <c r="AK50" s="3"/>
      <c r="AL50" s="3"/>
      <c r="AO50" s="3" t="s">
        <v>62</v>
      </c>
      <c r="AP50" s="5">
        <f>Q50</f>
      </c>
    </row>
    <row r="51" ht="18" customHeight="1" spans="1:42" x14ac:dyDescent="0.25">
      <c r="A51" s="3" t="s">
        <v>38</v>
      </c>
      <c r="B51" s="3" t="s">
        <v>39</v>
      </c>
      <c r="C51" s="3" t="s">
        <v>40</v>
      </c>
      <c r="D51" s="3" t="s">
        <v>41</v>
      </c>
      <c r="E51" s="3" t="s">
        <v>84</v>
      </c>
      <c r="F51" s="3" t="s">
        <v>318</v>
      </c>
      <c r="G51" s="12" t="s">
        <v>61</v>
      </c>
      <c r="H51" s="3" t="s">
        <v>319</v>
      </c>
      <c r="I51" s="3" t="s">
        <v>320</v>
      </c>
      <c r="J51" s="3" t="s">
        <v>321</v>
      </c>
      <c r="K51" s="4" t="s">
        <v>271</v>
      </c>
      <c r="L51" s="4" t="s">
        <v>49</v>
      </c>
      <c r="M51" s="4" t="s">
        <v>272</v>
      </c>
      <c r="N51" s="12" t="s">
        <v>61</v>
      </c>
      <c r="O51" s="5">
        <v>501387</v>
      </c>
      <c r="P51" s="5">
        <v>501486</v>
      </c>
      <c r="Q51" s="5">
        <f>P51-O51</f>
      </c>
      <c r="R51" s="6">
        <v>100</v>
      </c>
      <c r="S51" s="5">
        <f>IF(Q51-R51&lt;0,"0",Q51-R51)</f>
      </c>
      <c r="T51" s="5">
        <v>0</v>
      </c>
      <c r="U51" s="7">
        <v>46181.64583333333</v>
      </c>
      <c r="V51" s="7">
        <v>46181.8653587963</v>
      </c>
      <c r="W51" s="8">
        <f>V51-U51</f>
      </c>
      <c r="X51" s="9">
        <v>0.25</v>
      </c>
      <c r="Y51" s="8">
        <f>IF(W51-X51&lt;0,"00:00:00",W51-X51)</f>
      </c>
      <c r="Z51" s="10">
        <v>145</v>
      </c>
      <c r="AA51" s="10">
        <v>0</v>
      </c>
      <c r="AB51" s="11">
        <f>Y51*Z51*24</f>
      </c>
      <c r="AC51" s="11">
        <f>S51*AA51</f>
      </c>
      <c r="AD51" s="11">
        <f>T51*AA51</f>
      </c>
      <c r="AE51" s="10">
        <v>690</v>
      </c>
      <c r="AF51" s="11">
        <v>25</v>
      </c>
      <c r="AG51" s="11">
        <f>SUM(AB51:AF51)</f>
      </c>
      <c r="AH51" s="3"/>
      <c r="AI51" s="3"/>
      <c r="AJ51" s="3"/>
      <c r="AK51" s="3"/>
      <c r="AL51" s="3"/>
      <c r="AO51" s="3" t="s">
        <v>62</v>
      </c>
      <c r="AP51" s="5">
        <f>Q51</f>
      </c>
    </row>
    <row r="52" ht="18" customHeight="1" spans="1:42" x14ac:dyDescent="0.25">
      <c r="A52" s="3" t="s">
        <v>38</v>
      </c>
      <c r="B52" s="3" t="s">
        <v>39</v>
      </c>
      <c r="C52" s="3" t="s">
        <v>40</v>
      </c>
      <c r="D52" s="3" t="s">
        <v>198</v>
      </c>
      <c r="E52" s="3" t="s">
        <v>303</v>
      </c>
      <c r="F52" s="3" t="s">
        <v>322</v>
      </c>
      <c r="G52" s="12" t="s">
        <v>61</v>
      </c>
      <c r="H52" s="3" t="s">
        <v>323</v>
      </c>
      <c r="I52" s="3" t="s">
        <v>117</v>
      </c>
      <c r="J52" s="12" t="s">
        <v>61</v>
      </c>
      <c r="K52" s="4" t="s">
        <v>301</v>
      </c>
      <c r="L52" s="4" t="s">
        <v>49</v>
      </c>
      <c r="M52" s="4" t="s">
        <v>48</v>
      </c>
      <c r="N52" s="3" t="s">
        <v>49</v>
      </c>
      <c r="O52" s="5">
        <v>0</v>
      </c>
      <c r="P52" s="5">
        <v>0</v>
      </c>
      <c r="Q52" s="5">
        <v>0</v>
      </c>
      <c r="R52" s="6">
        <v>34</v>
      </c>
      <c r="S52" s="5">
        <f>IF(Q52-R52&lt;0,"0",Q52-R52)</f>
      </c>
      <c r="T52" s="5">
        <v>0</v>
      </c>
      <c r="U52" s="7">
        <v>46181.694444444445</v>
      </c>
      <c r="V52" s="7">
        <v>46181.694444444445</v>
      </c>
      <c r="W52" s="8">
        <f>V52-U52</f>
      </c>
      <c r="X52" s="9">
        <v>0.125</v>
      </c>
      <c r="Y52" s="8">
        <f>IF(W52-X52&lt;0,"00:00:00",W52-X52)</f>
      </c>
      <c r="Z52" s="10">
        <v>145</v>
      </c>
      <c r="AA52" s="10">
        <v>0</v>
      </c>
      <c r="AB52" s="11">
        <f>Y52*Z52*24</f>
      </c>
      <c r="AC52" s="11">
        <f>S52*AA52</f>
      </c>
      <c r="AD52" s="11">
        <f>T52*AA52</f>
      </c>
      <c r="AE52" s="10">
        <v>690</v>
      </c>
      <c r="AF52" s="11">
        <v>0</v>
      </c>
      <c r="AG52" s="11">
        <f>SUM(AB52:AF52)</f>
      </c>
      <c r="AH52" s="3"/>
      <c r="AI52" s="3"/>
      <c r="AJ52" s="3"/>
      <c r="AK52" s="3"/>
      <c r="AL52" s="3"/>
      <c r="AO52" s="3" t="s">
        <v>324</v>
      </c>
      <c r="AP52" s="5">
        <f>Q52</f>
      </c>
    </row>
    <row r="53" ht="18" customHeight="1" spans="1:42" x14ac:dyDescent="0.25">
      <c r="A53" s="3" t="s">
        <v>38</v>
      </c>
      <c r="B53" s="3" t="s">
        <v>39</v>
      </c>
      <c r="C53" s="3" t="s">
        <v>40</v>
      </c>
      <c r="D53" s="3" t="s">
        <v>41</v>
      </c>
      <c r="E53" s="3" t="s">
        <v>84</v>
      </c>
      <c r="F53" s="3" t="s">
        <v>325</v>
      </c>
      <c r="G53" s="12" t="s">
        <v>61</v>
      </c>
      <c r="H53" s="3" t="s">
        <v>326</v>
      </c>
      <c r="I53" s="3" t="s">
        <v>327</v>
      </c>
      <c r="J53" s="3" t="s">
        <v>328</v>
      </c>
      <c r="K53" s="4" t="s">
        <v>81</v>
      </c>
      <c r="L53" s="4" t="s">
        <v>49</v>
      </c>
      <c r="M53" s="4" t="s">
        <v>329</v>
      </c>
      <c r="N53" s="3" t="s">
        <v>49</v>
      </c>
      <c r="O53" s="5">
        <v>45172</v>
      </c>
      <c r="P53" s="5">
        <v>45259</v>
      </c>
      <c r="Q53" s="5">
        <f>P53-O53</f>
      </c>
      <c r="R53" s="6">
        <v>100</v>
      </c>
      <c r="S53" s="5">
        <f>IF(Q53-R53&lt;0,"0",Q53-R53)</f>
      </c>
      <c r="T53" s="5">
        <v>0</v>
      </c>
      <c r="U53" s="7">
        <v>46182.25</v>
      </c>
      <c r="V53" s="7">
        <v>46182.51435185185</v>
      </c>
      <c r="W53" s="8">
        <f>V53-U53</f>
      </c>
      <c r="X53" s="9">
        <v>0.125</v>
      </c>
      <c r="Y53" s="8">
        <f>IF(W53-X53&lt;0,"00:00:00",W53-X53)</f>
      </c>
      <c r="Z53" s="10">
        <v>145</v>
      </c>
      <c r="AA53" s="10">
        <v>0</v>
      </c>
      <c r="AB53" s="11">
        <f>Y53*Z53*24</f>
      </c>
      <c r="AC53" s="11">
        <f>S53*AA53</f>
      </c>
      <c r="AD53" s="11">
        <f>T53*AA53</f>
      </c>
      <c r="AE53" s="10">
        <v>690</v>
      </c>
      <c r="AF53" s="11">
        <v>0</v>
      </c>
      <c r="AG53" s="11">
        <f>SUM(AB53:AF53)</f>
      </c>
      <c r="AH53" s="3"/>
      <c r="AI53" s="3"/>
      <c r="AJ53" s="3"/>
      <c r="AK53" s="3"/>
      <c r="AL53" s="3"/>
      <c r="AO53" s="3" t="s">
        <v>62</v>
      </c>
      <c r="AP53" s="5">
        <f>Q53</f>
      </c>
    </row>
    <row r="54" ht="18" customHeight="1" spans="1:42" x14ac:dyDescent="0.25">
      <c r="A54" s="13" t="s">
        <v>38</v>
      </c>
      <c r="B54" s="13" t="s">
        <v>39</v>
      </c>
      <c r="C54" s="13" t="s">
        <v>40</v>
      </c>
      <c r="D54" s="13" t="s">
        <v>41</v>
      </c>
      <c r="E54" s="13" t="s">
        <v>330</v>
      </c>
      <c r="F54" s="13" t="s">
        <v>331</v>
      </c>
      <c r="G54" s="13" t="s">
        <v>61</v>
      </c>
      <c r="H54" s="13" t="s">
        <v>332</v>
      </c>
      <c r="I54" s="13" t="s">
        <v>333</v>
      </c>
      <c r="J54" s="13" t="s">
        <v>334</v>
      </c>
      <c r="K54" s="14" t="s">
        <v>335</v>
      </c>
      <c r="L54" s="14" t="s">
        <v>49</v>
      </c>
      <c r="M54" s="14" t="s">
        <v>288</v>
      </c>
      <c r="N54" s="13" t="s">
        <v>49</v>
      </c>
      <c r="O54" s="6">
        <v>267</v>
      </c>
      <c r="P54" s="6">
        <v>345</v>
      </c>
      <c r="Q54" s="6">
        <f>P54-O54</f>
      </c>
      <c r="R54" s="6">
        <v>0</v>
      </c>
      <c r="S54" s="6">
        <f>IF(Q54-R54&lt;0,"0",Q54-R54)</f>
      </c>
      <c r="T54" s="6">
        <v>0</v>
      </c>
      <c r="U54" s="15">
        <v>46181.83333333333</v>
      </c>
      <c r="V54" s="15">
        <v>46181.93719907408</v>
      </c>
      <c r="W54" s="9">
        <f>V54-U54</f>
      </c>
      <c r="X54" s="9">
        <v>0</v>
      </c>
      <c r="Y54" s="9">
        <f>IF(W54-X54&lt;0,"00:00:00",W54-X54)</f>
      </c>
      <c r="Z54" s="10">
        <v>0</v>
      </c>
      <c r="AA54" s="10">
        <v>0</v>
      </c>
      <c r="AB54" s="10">
        <f>Y54*Z54*24</f>
      </c>
      <c r="AC54" s="10">
        <f>S54*AA54</f>
      </c>
      <c r="AD54" s="10">
        <f>T54*AA54</f>
      </c>
      <c r="AE54" s="10">
        <v>0</v>
      </c>
      <c r="AF54" s="10">
        <v>28.6</v>
      </c>
      <c r="AG54" s="10">
        <f>SUM(AB54:AF54)</f>
      </c>
      <c r="AH54" s="13"/>
      <c r="AI54" s="13"/>
      <c r="AJ54" s="13"/>
      <c r="AK54" s="13"/>
      <c r="AL54" s="13"/>
      <c r="AM54" s="16"/>
      <c r="AN54" s="16"/>
      <c r="AO54" s="13" t="s">
        <v>61</v>
      </c>
      <c r="AP54" s="6">
        <f>Q54</f>
      </c>
    </row>
    <row r="55" ht="18" customHeight="1" spans="1:42" x14ac:dyDescent="0.25">
      <c r="A55" s="3" t="s">
        <v>38</v>
      </c>
      <c r="B55" s="3" t="s">
        <v>39</v>
      </c>
      <c r="C55" s="3" t="s">
        <v>40</v>
      </c>
      <c r="D55" s="3" t="s">
        <v>41</v>
      </c>
      <c r="E55" s="3" t="s">
        <v>336</v>
      </c>
      <c r="F55" s="3" t="s">
        <v>337</v>
      </c>
      <c r="G55" s="12" t="s">
        <v>61</v>
      </c>
      <c r="H55" s="3" t="s">
        <v>338</v>
      </c>
      <c r="I55" s="3" t="s">
        <v>260</v>
      </c>
      <c r="J55" s="3" t="s">
        <v>339</v>
      </c>
      <c r="K55" s="4" t="s">
        <v>262</v>
      </c>
      <c r="L55" s="4" t="s">
        <v>168</v>
      </c>
      <c r="M55" s="4" t="s">
        <v>263</v>
      </c>
      <c r="N55" s="3" t="s">
        <v>168</v>
      </c>
      <c r="O55" s="5">
        <v>167132</v>
      </c>
      <c r="P55" s="5">
        <v>167210</v>
      </c>
      <c r="Q55" s="5">
        <f>P55-O55</f>
      </c>
      <c r="R55" s="6">
        <v>100</v>
      </c>
      <c r="S55" s="5">
        <f>IF(Q55-R55&lt;0,"0",Q55-R55)</f>
      </c>
      <c r="T55" s="5">
        <v>0</v>
      </c>
      <c r="U55" s="7">
        <v>46182.39583333333</v>
      </c>
      <c r="V55" s="7">
        <v>46182.59609953704</v>
      </c>
      <c r="W55" s="8">
        <f>V55-U55</f>
      </c>
      <c r="X55" s="9">
        <v>0.125</v>
      </c>
      <c r="Y55" s="8">
        <f>IF(W55-X55&lt;0,"00:00:00",W55-X55)</f>
      </c>
      <c r="Z55" s="10">
        <v>145</v>
      </c>
      <c r="AA55" s="10">
        <v>0</v>
      </c>
      <c r="AB55" s="11">
        <f>Y55*Z55*24</f>
      </c>
      <c r="AC55" s="11">
        <f>S55*AA55</f>
      </c>
      <c r="AD55" s="11">
        <f>T55*AA55</f>
      </c>
      <c r="AE55" s="10">
        <v>690</v>
      </c>
      <c r="AF55" s="11">
        <v>5.4</v>
      </c>
      <c r="AG55" s="11">
        <f>SUM(AB55:AF55)</f>
      </c>
      <c r="AH55" s="3"/>
      <c r="AI55" s="3"/>
      <c r="AJ55" s="3"/>
      <c r="AK55" s="3"/>
      <c r="AL55" s="3"/>
      <c r="AO55" s="3" t="s">
        <v>264</v>
      </c>
      <c r="AP55" s="5">
        <f>Q55</f>
      </c>
    </row>
    <row r="56" ht="18" customHeight="1" spans="1:42" x14ac:dyDescent="0.25">
      <c r="A56" s="3" t="s">
        <v>38</v>
      </c>
      <c r="B56" s="3" t="s">
        <v>39</v>
      </c>
      <c r="C56" s="3" t="s">
        <v>40</v>
      </c>
      <c r="D56" s="3" t="s">
        <v>41</v>
      </c>
      <c r="E56" s="3" t="s">
        <v>92</v>
      </c>
      <c r="F56" s="3" t="s">
        <v>340</v>
      </c>
      <c r="G56" s="12" t="s">
        <v>61</v>
      </c>
      <c r="H56" s="3" t="s">
        <v>341</v>
      </c>
      <c r="I56" s="3" t="s">
        <v>195</v>
      </c>
      <c r="J56" s="3" t="s">
        <v>342</v>
      </c>
      <c r="K56" s="4" t="s">
        <v>81</v>
      </c>
      <c r="L56" s="4" t="s">
        <v>49</v>
      </c>
      <c r="M56" s="4" t="s">
        <v>96</v>
      </c>
      <c r="N56" s="12" t="s">
        <v>61</v>
      </c>
      <c r="O56" s="5">
        <v>127063</v>
      </c>
      <c r="P56" s="5">
        <v>127110</v>
      </c>
      <c r="Q56" s="5">
        <f>P56-O56</f>
      </c>
      <c r="R56" s="6">
        <v>100</v>
      </c>
      <c r="S56" s="5">
        <f>IF(Q56-R56&lt;0,"0",Q56-R56)</f>
      </c>
      <c r="T56" s="5">
        <v>0</v>
      </c>
      <c r="U56" s="7">
        <v>46182.36111111111</v>
      </c>
      <c r="V56" s="7">
        <v>46182.50113425926</v>
      </c>
      <c r="W56" s="8">
        <f>V56-U56</f>
      </c>
      <c r="X56" s="9">
        <v>0.125</v>
      </c>
      <c r="Y56" s="8">
        <f>IF(W56-X56&lt;0,"00:00:00",W56-X56)</f>
      </c>
      <c r="Z56" s="10">
        <v>145</v>
      </c>
      <c r="AA56" s="10">
        <v>0</v>
      </c>
      <c r="AB56" s="11">
        <f>Y56*Z56*24</f>
      </c>
      <c r="AC56" s="11">
        <f>S56*AA56</f>
      </c>
      <c r="AD56" s="11">
        <f>T56*AA56</f>
      </c>
      <c r="AE56" s="10">
        <v>690</v>
      </c>
      <c r="AF56" s="11">
        <v>0</v>
      </c>
      <c r="AG56" s="11">
        <f>SUM(AB56:AF56)</f>
      </c>
      <c r="AH56" s="3"/>
      <c r="AI56" s="3"/>
      <c r="AJ56" s="3"/>
      <c r="AK56" s="3"/>
      <c r="AL56" s="3"/>
      <c r="AO56" s="3" t="s">
        <v>62</v>
      </c>
      <c r="AP56" s="5">
        <f>Q56</f>
      </c>
    </row>
    <row r="57" ht="18" customHeight="1" spans="1:42" x14ac:dyDescent="0.25">
      <c r="A57" s="3" t="s">
        <v>38</v>
      </c>
      <c r="B57" s="3" t="s">
        <v>39</v>
      </c>
      <c r="C57" s="3" t="s">
        <v>40</v>
      </c>
      <c r="D57" s="3" t="s">
        <v>41</v>
      </c>
      <c r="E57" s="3" t="s">
        <v>199</v>
      </c>
      <c r="F57" s="3" t="s">
        <v>343</v>
      </c>
      <c r="G57" s="12" t="s">
        <v>61</v>
      </c>
      <c r="H57" s="3" t="s">
        <v>344</v>
      </c>
      <c r="I57" s="3" t="s">
        <v>345</v>
      </c>
      <c r="J57" s="3" t="s">
        <v>346</v>
      </c>
      <c r="K57" s="4" t="s">
        <v>167</v>
      </c>
      <c r="L57" s="4" t="s">
        <v>168</v>
      </c>
      <c r="M57" s="4" t="s">
        <v>82</v>
      </c>
      <c r="N57" s="12" t="s">
        <v>61</v>
      </c>
      <c r="O57" s="5">
        <v>168120</v>
      </c>
      <c r="P57" s="5">
        <v>168321</v>
      </c>
      <c r="Q57" s="5">
        <f>P57-O57</f>
      </c>
      <c r="R57" s="6">
        <v>200</v>
      </c>
      <c r="S57" s="5">
        <f>IF(Q57-R57&lt;0,"0",Q57-R57)</f>
      </c>
      <c r="T57" s="5">
        <v>0</v>
      </c>
      <c r="U57" s="7">
        <v>46181.993055555555</v>
      </c>
      <c r="V57" s="7">
        <v>46182.508564814816</v>
      </c>
      <c r="W57" s="8">
        <f>V57-U57</f>
      </c>
      <c r="X57" s="9">
        <v>0.20833333333333334</v>
      </c>
      <c r="Y57" s="8">
        <f>IF(W57-X57&lt;0,"00:00:00",W57-X57)</f>
      </c>
      <c r="Z57" s="10">
        <v>145</v>
      </c>
      <c r="AA57" s="10">
        <v>0</v>
      </c>
      <c r="AB57" s="11">
        <f>Y57*Z57*24</f>
      </c>
      <c r="AC57" s="11">
        <f>S57*AA57</f>
      </c>
      <c r="AD57" s="11">
        <f>T57*AA57</f>
      </c>
      <c r="AE57" s="10">
        <v>1380</v>
      </c>
      <c r="AF57" s="11">
        <v>0</v>
      </c>
      <c r="AG57" s="11">
        <f>SUM(AB57:AF57)</f>
      </c>
      <c r="AH57" s="3"/>
      <c r="AI57" s="3"/>
      <c r="AJ57" s="3"/>
      <c r="AK57" s="3"/>
      <c r="AL57" s="3"/>
      <c r="AO57" s="3" t="s">
        <v>203</v>
      </c>
      <c r="AP57" s="5">
        <f>Q57</f>
      </c>
    </row>
    <row r="58" ht="18" customHeight="1" spans="1:42" x14ac:dyDescent="0.25">
      <c r="A58" s="3" t="s">
        <v>38</v>
      </c>
      <c r="B58" s="3" t="s">
        <v>39</v>
      </c>
      <c r="C58" s="3" t="s">
        <v>40</v>
      </c>
      <c r="D58" s="3" t="s">
        <v>41</v>
      </c>
      <c r="E58" s="3" t="s">
        <v>199</v>
      </c>
      <c r="F58" s="3" t="s">
        <v>347</v>
      </c>
      <c r="G58" s="12" t="s">
        <v>61</v>
      </c>
      <c r="H58" s="3" t="s">
        <v>348</v>
      </c>
      <c r="I58" s="3" t="s">
        <v>260</v>
      </c>
      <c r="J58" s="3" t="s">
        <v>349</v>
      </c>
      <c r="K58" s="4" t="s">
        <v>255</v>
      </c>
      <c r="L58" s="4" t="s">
        <v>168</v>
      </c>
      <c r="M58" s="4" t="s">
        <v>82</v>
      </c>
      <c r="N58" s="12" t="s">
        <v>61</v>
      </c>
      <c r="O58" s="5">
        <v>166673</v>
      </c>
      <c r="P58" s="5">
        <v>166873</v>
      </c>
      <c r="Q58" s="5">
        <f>P58-O58</f>
      </c>
      <c r="R58" s="6">
        <v>200</v>
      </c>
      <c r="S58" s="5">
        <f>IF(Q58-R58&lt;0,"0",Q58-R58)</f>
      </c>
      <c r="T58" s="5">
        <v>0</v>
      </c>
      <c r="U58" s="7">
        <v>46182</v>
      </c>
      <c r="V58" s="7">
        <v>46182.13232638889</v>
      </c>
      <c r="W58" s="8">
        <f>V58-U58</f>
      </c>
      <c r="X58" s="9">
        <v>0.20833333333333334</v>
      </c>
      <c r="Y58" s="8">
        <f>IF(W58-X58&lt;0,"00:00:00",W58-X58)</f>
      </c>
      <c r="Z58" s="10">
        <v>145</v>
      </c>
      <c r="AA58" s="10">
        <v>0</v>
      </c>
      <c r="AB58" s="11">
        <f>Y58*Z58*24</f>
      </c>
      <c r="AC58" s="11">
        <f>S58*AA58</f>
      </c>
      <c r="AD58" s="11">
        <f>T58*AA58</f>
      </c>
      <c r="AE58" s="10">
        <v>1380</v>
      </c>
      <c r="AF58" s="11">
        <v>35</v>
      </c>
      <c r="AG58" s="11">
        <f>SUM(AB58:AF58)</f>
      </c>
      <c r="AH58" s="3"/>
      <c r="AI58" s="3"/>
      <c r="AJ58" s="3"/>
      <c r="AK58" s="3"/>
      <c r="AL58" s="3"/>
      <c r="AO58" s="3" t="s">
        <v>350</v>
      </c>
      <c r="AP58" s="5">
        <f>Q58</f>
      </c>
    </row>
    <row r="59" ht="18" customHeight="1" spans="1:42" x14ac:dyDescent="0.25">
      <c r="A59" s="13" t="s">
        <v>38</v>
      </c>
      <c r="B59" s="13" t="s">
        <v>39</v>
      </c>
      <c r="C59" s="13" t="s">
        <v>40</v>
      </c>
      <c r="D59" s="13" t="s">
        <v>351</v>
      </c>
      <c r="E59" s="13" t="s">
        <v>352</v>
      </c>
      <c r="F59" s="13" t="s">
        <v>353</v>
      </c>
      <c r="G59" s="13" t="s">
        <v>61</v>
      </c>
      <c r="H59" s="13" t="s">
        <v>354</v>
      </c>
      <c r="I59" s="13" t="s">
        <v>117</v>
      </c>
      <c r="J59" s="13" t="s">
        <v>111</v>
      </c>
      <c r="K59" s="14" t="s">
        <v>81</v>
      </c>
      <c r="L59" s="14" t="s">
        <v>49</v>
      </c>
      <c r="M59" s="14" t="s">
        <v>355</v>
      </c>
      <c r="N59" s="13" t="s">
        <v>356</v>
      </c>
      <c r="O59" s="6">
        <v>10438</v>
      </c>
      <c r="P59" s="6">
        <v>0</v>
      </c>
      <c r="Q59" s="6">
        <f>P59-O59</f>
      </c>
      <c r="R59" s="6">
        <v>0</v>
      </c>
      <c r="S59" s="6">
        <f>IF(Q59-R59&lt;0,"0",Q59-R59)</f>
      </c>
      <c r="T59" s="6">
        <v>0</v>
      </c>
      <c r="U59" s="15">
        <v>46182.16666666667</v>
      </c>
      <c r="V59" s="15">
        <v>46183.60563657407</v>
      </c>
      <c r="W59" s="9">
        <f>V59-U59</f>
      </c>
      <c r="X59" s="9">
        <v>0</v>
      </c>
      <c r="Y59" s="9">
        <f>IF(W59-X59&lt;0,"00:00:00",W59-X59)</f>
      </c>
      <c r="Z59" s="10">
        <v>0</v>
      </c>
      <c r="AA59" s="10">
        <v>0</v>
      </c>
      <c r="AB59" s="10">
        <f>Y59*Z59*24</f>
      </c>
      <c r="AC59" s="10">
        <f>S59*AA59</f>
      </c>
      <c r="AD59" s="10">
        <f>T59*AA59</f>
      </c>
      <c r="AE59" s="10">
        <v>0</v>
      </c>
      <c r="AF59" s="10">
        <v>0</v>
      </c>
      <c r="AG59" s="10">
        <f>SUM(AB59:AF59)</f>
      </c>
      <c r="AH59" s="13"/>
      <c r="AI59" s="13"/>
      <c r="AJ59" s="13"/>
      <c r="AK59" s="13"/>
      <c r="AL59" s="13"/>
      <c r="AM59" s="16"/>
      <c r="AN59" s="16"/>
      <c r="AO59" s="13" t="s">
        <v>61</v>
      </c>
      <c r="AP59" s="6">
        <f>Q59</f>
      </c>
    </row>
    <row r="60" ht="18" customHeight="1" spans="1:42" x14ac:dyDescent="0.25">
      <c r="A60" s="3" t="s">
        <v>38</v>
      </c>
      <c r="B60" s="3" t="s">
        <v>39</v>
      </c>
      <c r="C60" s="3" t="s">
        <v>40</v>
      </c>
      <c r="D60" s="3" t="s">
        <v>198</v>
      </c>
      <c r="E60" s="3" t="s">
        <v>84</v>
      </c>
      <c r="F60" s="3" t="s">
        <v>357</v>
      </c>
      <c r="G60" s="12" t="s">
        <v>61</v>
      </c>
      <c r="H60" s="3" t="s">
        <v>358</v>
      </c>
      <c r="I60" s="3" t="s">
        <v>359</v>
      </c>
      <c r="J60" s="3" t="s">
        <v>300</v>
      </c>
      <c r="K60" s="4" t="s">
        <v>360</v>
      </c>
      <c r="L60" s="4" t="s">
        <v>49</v>
      </c>
      <c r="M60" s="4" t="s">
        <v>301</v>
      </c>
      <c r="N60" s="3" t="s">
        <v>49</v>
      </c>
      <c r="O60" s="5">
        <v>0</v>
      </c>
      <c r="P60" s="5">
        <v>0</v>
      </c>
      <c r="Q60" s="5">
        <v>0</v>
      </c>
      <c r="R60" s="6">
        <v>100</v>
      </c>
      <c r="S60" s="5">
        <f>IF(Q60-R60&lt;0,"0",Q60-R60)</f>
      </c>
      <c r="T60" s="5">
        <v>0</v>
      </c>
      <c r="U60" s="7">
        <v>46182.47916666667</v>
      </c>
      <c r="V60" s="7">
        <v>46182.47916666667</v>
      </c>
      <c r="W60" s="8">
        <f>V60-U60</f>
      </c>
      <c r="X60" s="9">
        <v>0.125</v>
      </c>
      <c r="Y60" s="8">
        <f>IF(W60-X60&lt;0,"00:00:00",W60-X60)</f>
      </c>
      <c r="Z60" s="10">
        <v>145</v>
      </c>
      <c r="AA60" s="10">
        <v>0</v>
      </c>
      <c r="AB60" s="11">
        <f>Y60*Z60*24</f>
      </c>
      <c r="AC60" s="11">
        <f>S60*AA60</f>
      </c>
      <c r="AD60" s="11">
        <f>T60*AA60</f>
      </c>
      <c r="AE60" s="10">
        <v>690</v>
      </c>
      <c r="AF60" s="11">
        <v>0</v>
      </c>
      <c r="AG60" s="11">
        <f>SUM(AB60:AF60)</f>
      </c>
      <c r="AH60" s="3"/>
      <c r="AI60" s="3"/>
      <c r="AJ60" s="3"/>
      <c r="AK60" s="3"/>
      <c r="AL60" s="3"/>
      <c r="AO60" s="3" t="s">
        <v>91</v>
      </c>
      <c r="AP60" s="5">
        <f>Q60</f>
      </c>
    </row>
    <row r="61" ht="18" customHeight="1" spans="1:42" x14ac:dyDescent="0.25">
      <c r="A61" s="3" t="s">
        <v>38</v>
      </c>
      <c r="B61" s="3" t="s">
        <v>39</v>
      </c>
      <c r="C61" s="3" t="s">
        <v>40</v>
      </c>
      <c r="D61" s="3" t="s">
        <v>198</v>
      </c>
      <c r="E61" s="3" t="s">
        <v>84</v>
      </c>
      <c r="F61" s="3" t="s">
        <v>361</v>
      </c>
      <c r="G61" s="12" t="s">
        <v>61</v>
      </c>
      <c r="H61" s="3" t="s">
        <v>362</v>
      </c>
      <c r="I61" s="3" t="s">
        <v>363</v>
      </c>
      <c r="J61" s="3" t="s">
        <v>364</v>
      </c>
      <c r="K61" s="4" t="s">
        <v>365</v>
      </c>
      <c r="L61" s="4" t="s">
        <v>49</v>
      </c>
      <c r="M61" s="4" t="s">
        <v>301</v>
      </c>
      <c r="N61" s="3" t="s">
        <v>49</v>
      </c>
      <c r="O61" s="5">
        <v>0</v>
      </c>
      <c r="P61" s="5">
        <v>0</v>
      </c>
      <c r="Q61" s="5">
        <v>0</v>
      </c>
      <c r="R61" s="6">
        <v>34</v>
      </c>
      <c r="S61" s="5">
        <f>IF(Q61-R61&lt;0,"0",Q61-R61)</f>
      </c>
      <c r="T61" s="5">
        <v>0</v>
      </c>
      <c r="U61" s="7">
        <v>46182.47916666667</v>
      </c>
      <c r="V61" s="7">
        <v>46182.47916666667</v>
      </c>
      <c r="W61" s="8">
        <f>V61-U61</f>
      </c>
      <c r="X61" s="9">
        <v>0.125</v>
      </c>
      <c r="Y61" s="8">
        <f>IF(W61-X61&lt;0,"00:00:00",W61-X61)</f>
      </c>
      <c r="Z61" s="10">
        <v>145</v>
      </c>
      <c r="AA61" s="10">
        <v>0</v>
      </c>
      <c r="AB61" s="11">
        <f>Y61*Z61*24</f>
      </c>
      <c r="AC61" s="11">
        <f>S61*AA61</f>
      </c>
      <c r="AD61" s="11">
        <f>T61*AA61</f>
      </c>
      <c r="AE61" s="10">
        <v>690</v>
      </c>
      <c r="AF61" s="11">
        <v>0</v>
      </c>
      <c r="AG61" s="11">
        <f>SUM(AB61:AF61)</f>
      </c>
      <c r="AH61" s="3"/>
      <c r="AI61" s="3"/>
      <c r="AJ61" s="3"/>
      <c r="AK61" s="3"/>
      <c r="AL61" s="3"/>
      <c r="AO61" s="3" t="s">
        <v>324</v>
      </c>
      <c r="AP61" s="5">
        <f>Q61</f>
      </c>
    </row>
    <row r="62" ht="18" customHeight="1" spans="1:42" x14ac:dyDescent="0.25">
      <c r="A62" s="3" t="s">
        <v>38</v>
      </c>
      <c r="B62" s="3" t="s">
        <v>39</v>
      </c>
      <c r="C62" s="3" t="s">
        <v>40</v>
      </c>
      <c r="D62" s="3" t="s">
        <v>198</v>
      </c>
      <c r="E62" s="3" t="s">
        <v>84</v>
      </c>
      <c r="F62" s="3" t="s">
        <v>366</v>
      </c>
      <c r="G62" s="12" t="s">
        <v>61</v>
      </c>
      <c r="H62" s="3" t="s">
        <v>367</v>
      </c>
      <c r="I62" s="3" t="s">
        <v>368</v>
      </c>
      <c r="J62" s="3" t="s">
        <v>364</v>
      </c>
      <c r="K62" s="4" t="s">
        <v>369</v>
      </c>
      <c r="L62" s="4" t="s">
        <v>49</v>
      </c>
      <c r="M62" s="4" t="s">
        <v>301</v>
      </c>
      <c r="N62" s="3" t="s">
        <v>49</v>
      </c>
      <c r="O62" s="5">
        <v>0</v>
      </c>
      <c r="P62" s="5">
        <v>0</v>
      </c>
      <c r="Q62" s="5">
        <v>0</v>
      </c>
      <c r="R62" s="6">
        <v>34</v>
      </c>
      <c r="S62" s="5">
        <f>IF(Q62-R62&lt;0,"0",Q62-R62)</f>
      </c>
      <c r="T62" s="5">
        <v>0</v>
      </c>
      <c r="U62" s="7">
        <v>46182.47916666667</v>
      </c>
      <c r="V62" s="7">
        <v>46182.47916666667</v>
      </c>
      <c r="W62" s="8">
        <f>V62-U62</f>
      </c>
      <c r="X62" s="9">
        <v>0.125</v>
      </c>
      <c r="Y62" s="8">
        <f>IF(W62-X62&lt;0,"00:00:00",W62-X62)</f>
      </c>
      <c r="Z62" s="10">
        <v>145</v>
      </c>
      <c r="AA62" s="10">
        <v>0</v>
      </c>
      <c r="AB62" s="11">
        <f>Y62*Z62*24</f>
      </c>
      <c r="AC62" s="11">
        <f>S62*AA62</f>
      </c>
      <c r="AD62" s="11">
        <f>T62*AA62</f>
      </c>
      <c r="AE62" s="10">
        <v>690</v>
      </c>
      <c r="AF62" s="11">
        <v>0</v>
      </c>
      <c r="AG62" s="11">
        <f>SUM(AB62:AF62)</f>
      </c>
      <c r="AH62" s="3"/>
      <c r="AI62" s="3"/>
      <c r="AJ62" s="3"/>
      <c r="AK62" s="3"/>
      <c r="AL62" s="3"/>
      <c r="AO62" s="3" t="s">
        <v>324</v>
      </c>
      <c r="AP62" s="5">
        <f>Q62</f>
      </c>
    </row>
    <row r="63" ht="18" customHeight="1" spans="1:42" x14ac:dyDescent="0.25">
      <c r="A63" s="3" t="s">
        <v>38</v>
      </c>
      <c r="B63" s="3" t="s">
        <v>39</v>
      </c>
      <c r="C63" s="3" t="s">
        <v>40</v>
      </c>
      <c r="D63" s="3" t="s">
        <v>370</v>
      </c>
      <c r="E63" s="3" t="s">
        <v>114</v>
      </c>
      <c r="F63" s="3" t="s">
        <v>371</v>
      </c>
      <c r="G63" s="12" t="s">
        <v>61</v>
      </c>
      <c r="H63" s="3" t="s">
        <v>372</v>
      </c>
      <c r="I63" s="3" t="s">
        <v>373</v>
      </c>
      <c r="J63" s="3" t="s">
        <v>374</v>
      </c>
      <c r="K63" s="4" t="s">
        <v>81</v>
      </c>
      <c r="L63" s="4" t="s">
        <v>49</v>
      </c>
      <c r="M63" s="4" t="s">
        <v>375</v>
      </c>
      <c r="N63" s="3" t="s">
        <v>70</v>
      </c>
      <c r="O63" s="5">
        <v>39675</v>
      </c>
      <c r="P63" s="5">
        <v>40475</v>
      </c>
      <c r="Q63" s="5">
        <f>P63-O63</f>
      </c>
      <c r="R63" s="6">
        <v>758</v>
      </c>
      <c r="S63" s="5">
        <f>IF(Q63-R63&lt;0,"0",Q63-R63)</f>
      </c>
      <c r="T63" s="5">
        <v>0</v>
      </c>
      <c r="U63" s="7">
        <v>46182.16666666667</v>
      </c>
      <c r="V63" s="7">
        <v>46183.225694444445</v>
      </c>
      <c r="W63" s="8">
        <f>V63-U63</f>
      </c>
      <c r="X63" s="9">
        <v>1.4166666666666667</v>
      </c>
      <c r="Y63" s="8">
        <f>IF(W63-X63&lt;0,"00:00:00",W63-X63)</f>
      </c>
      <c r="Z63" s="10">
        <v>145</v>
      </c>
      <c r="AA63" s="10">
        <v>0</v>
      </c>
      <c r="AB63" s="11">
        <f>Y63*Z63*24</f>
      </c>
      <c r="AC63" s="11">
        <f>S63*AA63</f>
      </c>
      <c r="AD63" s="11">
        <f>T63*AA63</f>
      </c>
      <c r="AE63" s="10">
        <v>7412.45</v>
      </c>
      <c r="AF63" s="11">
        <v>85.3</v>
      </c>
      <c r="AG63" s="11">
        <f>SUM(AB63:AF63)</f>
      </c>
      <c r="AH63" s="3"/>
      <c r="AI63" s="3"/>
      <c r="AJ63" s="3"/>
      <c r="AK63" s="3"/>
      <c r="AL63" s="3"/>
      <c r="AO63" s="3" t="s">
        <v>120</v>
      </c>
      <c r="AP63" s="5">
        <f>Q63</f>
      </c>
    </row>
    <row r="64" ht="18" customHeight="1" spans="1:42" x14ac:dyDescent="0.25">
      <c r="A64" s="3" t="s">
        <v>38</v>
      </c>
      <c r="B64" s="3" t="s">
        <v>39</v>
      </c>
      <c r="C64" s="3" t="s">
        <v>40</v>
      </c>
      <c r="D64" s="3" t="s">
        <v>41</v>
      </c>
      <c r="E64" s="3" t="s">
        <v>251</v>
      </c>
      <c r="F64" s="3" t="s">
        <v>376</v>
      </c>
      <c r="G64" s="12" t="s">
        <v>61</v>
      </c>
      <c r="H64" s="3" t="s">
        <v>377</v>
      </c>
      <c r="I64" s="3" t="s">
        <v>378</v>
      </c>
      <c r="J64" s="3" t="s">
        <v>379</v>
      </c>
      <c r="K64" s="4" t="s">
        <v>255</v>
      </c>
      <c r="L64" s="4" t="s">
        <v>168</v>
      </c>
      <c r="M64" s="4" t="s">
        <v>380</v>
      </c>
      <c r="N64" s="3" t="s">
        <v>168</v>
      </c>
      <c r="O64" s="5">
        <v>66864</v>
      </c>
      <c r="P64" s="5">
        <v>66899</v>
      </c>
      <c r="Q64" s="5">
        <f>P64-O64</f>
      </c>
      <c r="R64" s="6">
        <v>100</v>
      </c>
      <c r="S64" s="5">
        <f>IF(Q64-R64&lt;0,"0",Q64-R64)</f>
      </c>
      <c r="T64" s="5">
        <v>0</v>
      </c>
      <c r="U64" s="7">
        <v>46182.25</v>
      </c>
      <c r="V64" s="7">
        <v>46182.32225694445</v>
      </c>
      <c r="W64" s="8">
        <f>V64-U64</f>
      </c>
      <c r="X64" s="9">
        <v>0.125</v>
      </c>
      <c r="Y64" s="8">
        <f>IF(W64-X64&lt;0,"00:00:00",W64-X64)</f>
      </c>
      <c r="Z64" s="10">
        <v>145</v>
      </c>
      <c r="AA64" s="10">
        <v>0</v>
      </c>
      <c r="AB64" s="11">
        <f>Y64*Z64*24</f>
      </c>
      <c r="AC64" s="11">
        <f>S64*AA64</f>
      </c>
      <c r="AD64" s="11">
        <f>T64*AA64</f>
      </c>
      <c r="AE64" s="10">
        <v>690</v>
      </c>
      <c r="AF64" s="11">
        <v>0</v>
      </c>
      <c r="AG64" s="11">
        <f>SUM(AB64:AF64)</f>
      </c>
      <c r="AH64" s="3"/>
      <c r="AI64" s="3"/>
      <c r="AJ64" s="3"/>
      <c r="AK64" s="3"/>
      <c r="AL64" s="3"/>
      <c r="AO64" s="3" t="s">
        <v>264</v>
      </c>
      <c r="AP64" s="5">
        <f>Q64</f>
      </c>
    </row>
    <row r="65" ht="18" customHeight="1" spans="1:42" x14ac:dyDescent="0.25">
      <c r="A65" s="3" t="s">
        <v>38</v>
      </c>
      <c r="B65" s="3" t="s">
        <v>39</v>
      </c>
      <c r="C65" s="3" t="s">
        <v>40</v>
      </c>
      <c r="D65" s="3" t="s">
        <v>41</v>
      </c>
      <c r="E65" s="3" t="s">
        <v>84</v>
      </c>
      <c r="F65" s="3" t="s">
        <v>381</v>
      </c>
      <c r="G65" s="12" t="s">
        <v>61</v>
      </c>
      <c r="H65" s="3" t="s">
        <v>382</v>
      </c>
      <c r="I65" s="3" t="s">
        <v>140</v>
      </c>
      <c r="J65" s="3" t="s">
        <v>146</v>
      </c>
      <c r="K65" s="4" t="s">
        <v>148</v>
      </c>
      <c r="L65" s="4" t="s">
        <v>49</v>
      </c>
      <c r="M65" s="4" t="s">
        <v>383</v>
      </c>
      <c r="N65" s="3" t="s">
        <v>49</v>
      </c>
      <c r="O65" s="5">
        <v>52804</v>
      </c>
      <c r="P65" s="5">
        <v>52839</v>
      </c>
      <c r="Q65" s="5">
        <f>P65-O65</f>
      </c>
      <c r="R65" s="6">
        <v>100</v>
      </c>
      <c r="S65" s="5">
        <f>IF(Q65-R65&lt;0,"0",Q65-R65)</f>
      </c>
      <c r="T65" s="5">
        <v>0</v>
      </c>
      <c r="U65" s="7">
        <v>46182.16666666667</v>
      </c>
      <c r="V65" s="7">
        <v>46182.48645833333</v>
      </c>
      <c r="W65" s="8">
        <f>V65-U65</f>
      </c>
      <c r="X65" s="9">
        <v>0.125</v>
      </c>
      <c r="Y65" s="8">
        <f>IF(W65-X65&lt;0,"00:00:00",W65-X65)</f>
      </c>
      <c r="Z65" s="10">
        <v>145</v>
      </c>
      <c r="AA65" s="10">
        <v>0</v>
      </c>
      <c r="AB65" s="11">
        <f>Y65*Z65*24</f>
      </c>
      <c r="AC65" s="11">
        <f>S65*AA65</f>
      </c>
      <c r="AD65" s="11">
        <f>T65*AA65</f>
      </c>
      <c r="AE65" s="10">
        <v>690</v>
      </c>
      <c r="AF65" s="11">
        <v>5.9</v>
      </c>
      <c r="AG65" s="11">
        <f>SUM(AB65:AF65)</f>
      </c>
      <c r="AH65" s="3"/>
      <c r="AI65" s="3"/>
      <c r="AJ65" s="3"/>
      <c r="AK65" s="3"/>
      <c r="AL65" s="3"/>
      <c r="AO65" s="3" t="s">
        <v>62</v>
      </c>
      <c r="AP65" s="5">
        <f>Q65</f>
      </c>
    </row>
    <row r="66" ht="18" customHeight="1" spans="1:42" x14ac:dyDescent="0.25">
      <c r="A66" s="3" t="s">
        <v>38</v>
      </c>
      <c r="B66" s="3" t="s">
        <v>39</v>
      </c>
      <c r="C66" s="3" t="s">
        <v>40</v>
      </c>
      <c r="D66" s="3" t="s">
        <v>198</v>
      </c>
      <c r="E66" s="3" t="s">
        <v>384</v>
      </c>
      <c r="F66" s="3" t="s">
        <v>385</v>
      </c>
      <c r="G66" s="12" t="s">
        <v>61</v>
      </c>
      <c r="H66" s="3" t="s">
        <v>386</v>
      </c>
      <c r="I66" s="3" t="s">
        <v>110</v>
      </c>
      <c r="J66" s="3" t="s">
        <v>387</v>
      </c>
      <c r="K66" s="4" t="s">
        <v>388</v>
      </c>
      <c r="L66" s="4" t="s">
        <v>49</v>
      </c>
      <c r="M66" s="4" t="s">
        <v>389</v>
      </c>
      <c r="N66" s="3" t="s">
        <v>185</v>
      </c>
      <c r="O66" s="5">
        <v>0</v>
      </c>
      <c r="P66" s="5">
        <v>0</v>
      </c>
      <c r="Q66" s="5">
        <v>0</v>
      </c>
      <c r="R66" s="6">
        <v>34</v>
      </c>
      <c r="S66" s="5">
        <f>IF(Q66-R66&lt;0,"0",Q66-R66)</f>
      </c>
      <c r="T66" s="5">
        <v>0</v>
      </c>
      <c r="U66" s="7">
        <v>46182.54166666667</v>
      </c>
      <c r="V66" s="7">
        <v>46182.54166666667</v>
      </c>
      <c r="W66" s="8">
        <f>V66-U66</f>
      </c>
      <c r="X66" s="9">
        <v>0.125</v>
      </c>
      <c r="Y66" s="8">
        <f>IF(W66-X66&lt;0,"00:00:00",W66-X66)</f>
      </c>
      <c r="Z66" s="10">
        <v>145</v>
      </c>
      <c r="AA66" s="10">
        <v>0</v>
      </c>
      <c r="AB66" s="11">
        <f>Y66*Z66*24</f>
      </c>
      <c r="AC66" s="11">
        <f>S66*AA66</f>
      </c>
      <c r="AD66" s="11">
        <f>T66*AA66</f>
      </c>
      <c r="AE66" s="10">
        <v>690</v>
      </c>
      <c r="AF66" s="11">
        <v>0</v>
      </c>
      <c r="AG66" s="11">
        <f>SUM(AB66:AF66)</f>
      </c>
      <c r="AH66" s="3"/>
      <c r="AI66" s="3"/>
      <c r="AJ66" s="3"/>
      <c r="AK66" s="3"/>
      <c r="AL66" s="3"/>
      <c r="AO66" s="3" t="s">
        <v>324</v>
      </c>
      <c r="AP66" s="5">
        <f>Q66</f>
      </c>
    </row>
    <row r="67" ht="18" customHeight="1" spans="1:42" x14ac:dyDescent="0.25">
      <c r="A67" s="3" t="s">
        <v>38</v>
      </c>
      <c r="B67" s="3" t="s">
        <v>39</v>
      </c>
      <c r="C67" s="3" t="s">
        <v>40</v>
      </c>
      <c r="D67" s="3" t="s">
        <v>41</v>
      </c>
      <c r="E67" s="3" t="s">
        <v>251</v>
      </c>
      <c r="F67" s="3" t="s">
        <v>390</v>
      </c>
      <c r="G67" s="12" t="s">
        <v>61</v>
      </c>
      <c r="H67" s="3" t="s">
        <v>391</v>
      </c>
      <c r="I67" s="3" t="s">
        <v>392</v>
      </c>
      <c r="J67" s="3" t="s">
        <v>261</v>
      </c>
      <c r="K67" s="4" t="s">
        <v>262</v>
      </c>
      <c r="L67" s="4" t="s">
        <v>168</v>
      </c>
      <c r="M67" s="4" t="s">
        <v>393</v>
      </c>
      <c r="N67" s="3" t="s">
        <v>168</v>
      </c>
      <c r="O67" s="5">
        <v>201774</v>
      </c>
      <c r="P67" s="5">
        <v>201850</v>
      </c>
      <c r="Q67" s="5">
        <f>P67-O67</f>
      </c>
      <c r="R67" s="6">
        <v>100</v>
      </c>
      <c r="S67" s="5">
        <f>IF(Q67-R67&lt;0,"0",Q67-R67)</f>
      </c>
      <c r="T67" s="5">
        <v>0</v>
      </c>
      <c r="U67" s="7">
        <v>46182.64583333333</v>
      </c>
      <c r="V67" s="7">
        <v>46182.826956018514</v>
      </c>
      <c r="W67" s="8">
        <f>V67-U67</f>
      </c>
      <c r="X67" s="9">
        <v>0.125</v>
      </c>
      <c r="Y67" s="8">
        <f>IF(W67-X67&lt;0,"00:00:00",W67-X67)</f>
      </c>
      <c r="Z67" s="10">
        <v>145</v>
      </c>
      <c r="AA67" s="10">
        <v>0</v>
      </c>
      <c r="AB67" s="11">
        <f>Y67*Z67*24</f>
      </c>
      <c r="AC67" s="11">
        <f>S67*AA67</f>
      </c>
      <c r="AD67" s="11">
        <f>T67*AA67</f>
      </c>
      <c r="AE67" s="10">
        <v>690</v>
      </c>
      <c r="AF67" s="11">
        <v>5.4</v>
      </c>
      <c r="AG67" s="11">
        <f>SUM(AB67:AF67)</f>
      </c>
      <c r="AH67" s="3"/>
      <c r="AI67" s="3"/>
      <c r="AJ67" s="3"/>
      <c r="AK67" s="3"/>
      <c r="AL67" s="3"/>
      <c r="AO67" s="3" t="s">
        <v>264</v>
      </c>
      <c r="AP67" s="5">
        <f>Q67</f>
      </c>
    </row>
    <row r="68" ht="18" customHeight="1" spans="1:42" x14ac:dyDescent="0.25">
      <c r="A68" s="3" t="s">
        <v>38</v>
      </c>
      <c r="B68" s="3" t="s">
        <v>39</v>
      </c>
      <c r="C68" s="3" t="s">
        <v>40</v>
      </c>
      <c r="D68" s="3" t="s">
        <v>198</v>
      </c>
      <c r="E68" s="3" t="s">
        <v>53</v>
      </c>
      <c r="F68" s="3" t="s">
        <v>394</v>
      </c>
      <c r="G68" s="12" t="s">
        <v>61</v>
      </c>
      <c r="H68" s="3" t="s">
        <v>395</v>
      </c>
      <c r="I68" s="3" t="s">
        <v>207</v>
      </c>
      <c r="J68" s="3" t="s">
        <v>396</v>
      </c>
      <c r="K68" s="4" t="s">
        <v>360</v>
      </c>
      <c r="L68" s="4" t="s">
        <v>49</v>
      </c>
      <c r="M68" s="4" t="s">
        <v>397</v>
      </c>
      <c r="N68" s="3" t="s">
        <v>49</v>
      </c>
      <c r="O68" s="5">
        <v>0</v>
      </c>
      <c r="P68" s="5">
        <v>0</v>
      </c>
      <c r="Q68" s="5">
        <v>0</v>
      </c>
      <c r="R68" s="6">
        <v>200</v>
      </c>
      <c r="S68" s="5">
        <f>IF(Q68-R68&lt;0,"0",Q68-R68)</f>
      </c>
      <c r="T68" s="5">
        <v>0</v>
      </c>
      <c r="U68" s="7">
        <v>46183.33333333333</v>
      </c>
      <c r="V68" s="7">
        <v>46183.33333333333</v>
      </c>
      <c r="W68" s="8">
        <f>V68-U68</f>
      </c>
      <c r="X68" s="9">
        <v>0.25</v>
      </c>
      <c r="Y68" s="8">
        <f>IF(W68-X68&lt;0,"00:00:00",W68-X68)</f>
      </c>
      <c r="Z68" s="10">
        <v>145</v>
      </c>
      <c r="AA68" s="10">
        <v>0</v>
      </c>
      <c r="AB68" s="11">
        <f>Y68*Z68*24</f>
      </c>
      <c r="AC68" s="11">
        <f>S68*AA68</f>
      </c>
      <c r="AD68" s="11">
        <f>T68*AA68</f>
      </c>
      <c r="AE68" s="10">
        <v>690</v>
      </c>
      <c r="AF68" s="11">
        <v>0</v>
      </c>
      <c r="AG68" s="11">
        <f>SUM(AB68:AF68)</f>
      </c>
      <c r="AH68" s="3"/>
      <c r="AI68" s="3"/>
      <c r="AJ68" s="3"/>
      <c r="AK68" s="3"/>
      <c r="AL68" s="3"/>
      <c r="AO68" s="3" t="s">
        <v>161</v>
      </c>
      <c r="AP68" s="5">
        <f>Q68</f>
      </c>
    </row>
    <row r="69" ht="18" customHeight="1" spans="1:42" x14ac:dyDescent="0.25">
      <c r="A69" s="3" t="s">
        <v>38</v>
      </c>
      <c r="B69" s="3" t="s">
        <v>39</v>
      </c>
      <c r="C69" s="3" t="s">
        <v>40</v>
      </c>
      <c r="D69" s="3" t="s">
        <v>370</v>
      </c>
      <c r="E69" s="3" t="s">
        <v>398</v>
      </c>
      <c r="F69" s="3" t="s">
        <v>399</v>
      </c>
      <c r="G69" s="12" t="s">
        <v>61</v>
      </c>
      <c r="H69" s="3" t="s">
        <v>400</v>
      </c>
      <c r="I69" s="3" t="s">
        <v>401</v>
      </c>
      <c r="J69" s="3" t="s">
        <v>402</v>
      </c>
      <c r="K69" s="4" t="s">
        <v>403</v>
      </c>
      <c r="L69" s="4" t="s">
        <v>404</v>
      </c>
      <c r="M69" s="4" t="s">
        <v>405</v>
      </c>
      <c r="N69" s="3" t="s">
        <v>404</v>
      </c>
      <c r="O69" s="5">
        <v>23533</v>
      </c>
      <c r="P69" s="5">
        <v>23543</v>
      </c>
      <c r="Q69" s="5">
        <f>P69-O69</f>
      </c>
      <c r="R69" s="6">
        <v>100</v>
      </c>
      <c r="S69" s="5">
        <f>IF(Q69-R69&lt;0,"0",Q69-R69)</f>
      </c>
      <c r="T69" s="5">
        <v>170</v>
      </c>
      <c r="U69" s="7">
        <v>46183.33333333333</v>
      </c>
      <c r="V69" s="7">
        <v>46183.57224537037</v>
      </c>
      <c r="W69" s="8">
        <f>V69-U69</f>
      </c>
      <c r="X69" s="9">
        <v>0.125</v>
      </c>
      <c r="Y69" s="8">
        <f>IF(W69-X69&lt;0,"00:00:00",W69-X69)</f>
      </c>
      <c r="Z69" s="10">
        <v>145</v>
      </c>
      <c r="AA69" s="10">
        <v>0</v>
      </c>
      <c r="AB69" s="11">
        <f>Y69*Z69*24</f>
      </c>
      <c r="AC69" s="11">
        <f>S69*AA69</f>
      </c>
      <c r="AD69" s="11">
        <f>T69*AA69</f>
      </c>
      <c r="AE69" s="10">
        <v>690</v>
      </c>
      <c r="AF69" s="11">
        <v>0</v>
      </c>
      <c r="AG69" s="11">
        <f>SUM(AB69:AF69)</f>
      </c>
      <c r="AH69" s="3"/>
      <c r="AI69" s="3"/>
      <c r="AJ69" s="3"/>
      <c r="AK69" s="3"/>
      <c r="AL69" s="3"/>
      <c r="AO69" s="3" t="s">
        <v>406</v>
      </c>
      <c r="AP69" s="5">
        <f>Q69</f>
      </c>
    </row>
    <row r="70" ht="18" customHeight="1" spans="1:42" x14ac:dyDescent="0.25">
      <c r="A70" s="13" t="s">
        <v>38</v>
      </c>
      <c r="B70" s="13" t="s">
        <v>39</v>
      </c>
      <c r="C70" s="13" t="s">
        <v>40</v>
      </c>
      <c r="D70" s="13" t="s">
        <v>41</v>
      </c>
      <c r="E70" s="13" t="s">
        <v>84</v>
      </c>
      <c r="F70" s="13" t="s">
        <v>407</v>
      </c>
      <c r="G70" s="13" t="s">
        <v>61</v>
      </c>
      <c r="H70" s="13" t="s">
        <v>408</v>
      </c>
      <c r="I70" s="13" t="s">
        <v>409</v>
      </c>
      <c r="J70" s="13" t="s">
        <v>124</v>
      </c>
      <c r="K70" s="14" t="s">
        <v>360</v>
      </c>
      <c r="L70" s="14" t="s">
        <v>49</v>
      </c>
      <c r="M70" s="14" t="s">
        <v>301</v>
      </c>
      <c r="N70" s="13" t="s">
        <v>49</v>
      </c>
      <c r="O70" s="6">
        <v>20949</v>
      </c>
      <c r="P70" s="6">
        <v>21014</v>
      </c>
      <c r="Q70" s="6">
        <f>P70-O70</f>
      </c>
      <c r="R70" s="6">
        <v>0</v>
      </c>
      <c r="S70" s="6">
        <f>IF(Q70-R70&lt;0,"0",Q70-R70)</f>
      </c>
      <c r="T70" s="6">
        <v>0</v>
      </c>
      <c r="U70" s="15">
        <v>46183.20833333333</v>
      </c>
      <c r="V70" s="15">
        <v>46183.36472222222</v>
      </c>
      <c r="W70" s="9">
        <f>V70-U70</f>
      </c>
      <c r="X70" s="9">
        <v>0</v>
      </c>
      <c r="Y70" s="9">
        <f>IF(W70-X70&lt;0,"00:00:00",W70-X70)</f>
      </c>
      <c r="Z70" s="10">
        <v>0</v>
      </c>
      <c r="AA70" s="10">
        <v>0</v>
      </c>
      <c r="AB70" s="10">
        <f>Y70*Z70*24</f>
      </c>
      <c r="AC70" s="10">
        <f>S70*AA70</f>
      </c>
      <c r="AD70" s="10">
        <f>T70*AA70</f>
      </c>
      <c r="AE70" s="10">
        <v>0</v>
      </c>
      <c r="AF70" s="10">
        <v>18.1</v>
      </c>
      <c r="AG70" s="10">
        <f>SUM(AB70:AF70)</f>
      </c>
      <c r="AH70" s="13"/>
      <c r="AI70" s="13"/>
      <c r="AJ70" s="13"/>
      <c r="AK70" s="13"/>
      <c r="AL70" s="13"/>
      <c r="AM70" s="16"/>
      <c r="AN70" s="16"/>
      <c r="AO70" s="13" t="s">
        <v>61</v>
      </c>
      <c r="AP70" s="6">
        <f>Q70</f>
      </c>
    </row>
    <row r="71" ht="18" customHeight="1" spans="1:42" x14ac:dyDescent="0.25">
      <c r="A71" s="13" t="s">
        <v>38</v>
      </c>
      <c r="B71" s="13" t="s">
        <v>39</v>
      </c>
      <c r="C71" s="13" t="s">
        <v>40</v>
      </c>
      <c r="D71" s="13" t="s">
        <v>41</v>
      </c>
      <c r="E71" s="13" t="s">
        <v>84</v>
      </c>
      <c r="F71" s="13" t="s">
        <v>410</v>
      </c>
      <c r="G71" s="13" t="s">
        <v>61</v>
      </c>
      <c r="H71" s="13" t="s">
        <v>411</v>
      </c>
      <c r="I71" s="13" t="s">
        <v>320</v>
      </c>
      <c r="J71" s="13" t="s">
        <v>124</v>
      </c>
      <c r="K71" s="14" t="s">
        <v>360</v>
      </c>
      <c r="L71" s="14" t="s">
        <v>49</v>
      </c>
      <c r="M71" s="14" t="s">
        <v>301</v>
      </c>
      <c r="N71" s="13" t="s">
        <v>49</v>
      </c>
      <c r="O71" s="6">
        <v>416931</v>
      </c>
      <c r="P71" s="6">
        <v>416987</v>
      </c>
      <c r="Q71" s="6">
        <f>P71-O71</f>
      </c>
      <c r="R71" s="6">
        <v>0</v>
      </c>
      <c r="S71" s="6">
        <f>IF(Q71-R71&lt;0,"0",Q71-R71)</f>
      </c>
      <c r="T71" s="6">
        <v>0</v>
      </c>
      <c r="U71" s="15">
        <v>46183.24652777778</v>
      </c>
      <c r="V71" s="15">
        <v>46183.36650462963</v>
      </c>
      <c r="W71" s="9">
        <f>V71-U71</f>
      </c>
      <c r="X71" s="9">
        <v>0</v>
      </c>
      <c r="Y71" s="9">
        <f>IF(W71-X71&lt;0,"00:00:00",W71-X71)</f>
      </c>
      <c r="Z71" s="10">
        <v>0</v>
      </c>
      <c r="AA71" s="10">
        <v>0</v>
      </c>
      <c r="AB71" s="10">
        <f>Y71*Z71*24</f>
      </c>
      <c r="AC71" s="10">
        <f>S71*AA71</f>
      </c>
      <c r="AD71" s="10">
        <f>T71*AA71</f>
      </c>
      <c r="AE71" s="10">
        <v>0</v>
      </c>
      <c r="AF71" s="10">
        <v>0</v>
      </c>
      <c r="AG71" s="10">
        <f>SUM(AB71:AF71)</f>
      </c>
      <c r="AH71" s="13"/>
      <c r="AI71" s="13"/>
      <c r="AJ71" s="13"/>
      <c r="AK71" s="13"/>
      <c r="AL71" s="13"/>
      <c r="AM71" s="16"/>
      <c r="AN71" s="16"/>
      <c r="AO71" s="13" t="s">
        <v>61</v>
      </c>
      <c r="AP71" s="6">
        <f>Q71</f>
      </c>
    </row>
    <row r="72" ht="18" customHeight="1" spans="1:42" x14ac:dyDescent="0.25">
      <c r="A72" s="13" t="s">
        <v>38</v>
      </c>
      <c r="B72" s="13" t="s">
        <v>39</v>
      </c>
      <c r="C72" s="13" t="s">
        <v>40</v>
      </c>
      <c r="D72" s="13" t="s">
        <v>41</v>
      </c>
      <c r="E72" s="13" t="s">
        <v>84</v>
      </c>
      <c r="F72" s="13" t="s">
        <v>412</v>
      </c>
      <c r="G72" s="13" t="s">
        <v>61</v>
      </c>
      <c r="H72" s="13" t="s">
        <v>413</v>
      </c>
      <c r="I72" s="13" t="s">
        <v>414</v>
      </c>
      <c r="J72" s="13" t="s">
        <v>415</v>
      </c>
      <c r="K72" s="14" t="s">
        <v>360</v>
      </c>
      <c r="L72" s="14" t="s">
        <v>49</v>
      </c>
      <c r="M72" s="14" t="s">
        <v>301</v>
      </c>
      <c r="N72" s="13" t="s">
        <v>49</v>
      </c>
      <c r="O72" s="6">
        <v>428298</v>
      </c>
      <c r="P72" s="6">
        <v>428356</v>
      </c>
      <c r="Q72" s="6">
        <f>P72-O72</f>
      </c>
      <c r="R72" s="6">
        <v>0</v>
      </c>
      <c r="S72" s="6">
        <f>IF(Q72-R72&lt;0,"0",Q72-R72)</f>
      </c>
      <c r="T72" s="6">
        <v>0</v>
      </c>
      <c r="U72" s="15">
        <v>46183.20833333333</v>
      </c>
      <c r="V72" s="15">
        <v>46183.41703703704</v>
      </c>
      <c r="W72" s="9">
        <f>V72-U72</f>
      </c>
      <c r="X72" s="9">
        <v>0</v>
      </c>
      <c r="Y72" s="9">
        <f>IF(W72-X72&lt;0,"00:00:00",W72-X72)</f>
      </c>
      <c r="Z72" s="10">
        <v>0</v>
      </c>
      <c r="AA72" s="10">
        <v>0</v>
      </c>
      <c r="AB72" s="10">
        <f>Y72*Z72*24</f>
      </c>
      <c r="AC72" s="10">
        <f>S72*AA72</f>
      </c>
      <c r="AD72" s="10">
        <f>T72*AA72</f>
      </c>
      <c r="AE72" s="10">
        <v>0</v>
      </c>
      <c r="AF72" s="10">
        <v>0</v>
      </c>
      <c r="AG72" s="10">
        <f>SUM(AB72:AF72)</f>
      </c>
      <c r="AH72" s="13"/>
      <c r="AI72" s="13"/>
      <c r="AJ72" s="13"/>
      <c r="AK72" s="13"/>
      <c r="AL72" s="13"/>
      <c r="AM72" s="16"/>
      <c r="AN72" s="16"/>
      <c r="AO72" s="13" t="s">
        <v>61</v>
      </c>
      <c r="AP72" s="6">
        <f>Q72</f>
      </c>
    </row>
    <row r="73" ht="18" customHeight="1" spans="1:42" x14ac:dyDescent="0.25">
      <c r="A73" s="13" t="s">
        <v>38</v>
      </c>
      <c r="B73" s="13" t="s">
        <v>39</v>
      </c>
      <c r="C73" s="13" t="s">
        <v>40</v>
      </c>
      <c r="D73" s="13" t="s">
        <v>41</v>
      </c>
      <c r="E73" s="13" t="s">
        <v>84</v>
      </c>
      <c r="F73" s="13" t="s">
        <v>416</v>
      </c>
      <c r="G73" s="13" t="s">
        <v>61</v>
      </c>
      <c r="H73" s="13" t="s">
        <v>417</v>
      </c>
      <c r="I73" s="13" t="s">
        <v>418</v>
      </c>
      <c r="J73" s="13" t="s">
        <v>415</v>
      </c>
      <c r="K73" s="14" t="s">
        <v>360</v>
      </c>
      <c r="L73" s="14" t="s">
        <v>49</v>
      </c>
      <c r="M73" s="14" t="s">
        <v>301</v>
      </c>
      <c r="N73" s="13" t="s">
        <v>49</v>
      </c>
      <c r="O73" s="6">
        <v>435545</v>
      </c>
      <c r="P73" s="6">
        <v>435603</v>
      </c>
      <c r="Q73" s="6">
        <f>P73-O73</f>
      </c>
      <c r="R73" s="6">
        <v>0</v>
      </c>
      <c r="S73" s="6">
        <f>IF(Q73-R73&lt;0,"0",Q73-R73)</f>
      </c>
      <c r="T73" s="6">
        <v>0</v>
      </c>
      <c r="U73" s="15">
        <v>46183.20833333333</v>
      </c>
      <c r="V73" s="15">
        <v>46183.41761574074</v>
      </c>
      <c r="W73" s="9">
        <f>V73-U73</f>
      </c>
      <c r="X73" s="9">
        <v>0</v>
      </c>
      <c r="Y73" s="9">
        <f>IF(W73-X73&lt;0,"00:00:00",W73-X73)</f>
      </c>
      <c r="Z73" s="10">
        <v>0</v>
      </c>
      <c r="AA73" s="10">
        <v>0</v>
      </c>
      <c r="AB73" s="10">
        <f>Y73*Z73*24</f>
      </c>
      <c r="AC73" s="10">
        <f>S73*AA73</f>
      </c>
      <c r="AD73" s="10">
        <f>T73*AA73</f>
      </c>
      <c r="AE73" s="10">
        <v>0</v>
      </c>
      <c r="AF73" s="10">
        <v>10</v>
      </c>
      <c r="AG73" s="10">
        <f>SUM(AB73:AF73)</f>
      </c>
      <c r="AH73" s="13"/>
      <c r="AI73" s="13"/>
      <c r="AJ73" s="13"/>
      <c r="AK73" s="13"/>
      <c r="AL73" s="13"/>
      <c r="AM73" s="16"/>
      <c r="AN73" s="16"/>
      <c r="AO73" s="13" t="s">
        <v>61</v>
      </c>
      <c r="AP73" s="6">
        <f>Q73</f>
      </c>
    </row>
    <row r="74" ht="18" customHeight="1" spans="1:42" x14ac:dyDescent="0.25">
      <c r="A74" s="13" t="s">
        <v>38</v>
      </c>
      <c r="B74" s="13" t="s">
        <v>39</v>
      </c>
      <c r="C74" s="13" t="s">
        <v>40</v>
      </c>
      <c r="D74" s="13" t="s">
        <v>41</v>
      </c>
      <c r="E74" s="13" t="s">
        <v>84</v>
      </c>
      <c r="F74" s="13" t="s">
        <v>419</v>
      </c>
      <c r="G74" s="13" t="s">
        <v>61</v>
      </c>
      <c r="H74" s="13" t="s">
        <v>420</v>
      </c>
      <c r="I74" s="13" t="s">
        <v>421</v>
      </c>
      <c r="J74" s="13" t="s">
        <v>415</v>
      </c>
      <c r="K74" s="14" t="s">
        <v>360</v>
      </c>
      <c r="L74" s="14" t="s">
        <v>49</v>
      </c>
      <c r="M74" s="14" t="s">
        <v>301</v>
      </c>
      <c r="N74" s="13" t="s">
        <v>49</v>
      </c>
      <c r="O74" s="6">
        <v>45502</v>
      </c>
      <c r="P74" s="6">
        <v>45560</v>
      </c>
      <c r="Q74" s="6">
        <f>P74-O74</f>
      </c>
      <c r="R74" s="6">
        <v>0</v>
      </c>
      <c r="S74" s="6">
        <f>IF(Q74-R74&lt;0,"0",Q74-R74)</f>
      </c>
      <c r="T74" s="6">
        <v>0</v>
      </c>
      <c r="U74" s="15">
        <v>46183.20833333333</v>
      </c>
      <c r="V74" s="15">
        <v>46183.42210648148</v>
      </c>
      <c r="W74" s="9">
        <f>V74-U74</f>
      </c>
      <c r="X74" s="9">
        <v>0</v>
      </c>
      <c r="Y74" s="9">
        <f>IF(W74-X74&lt;0,"00:00:00",W74-X74)</f>
      </c>
      <c r="Z74" s="10">
        <v>0</v>
      </c>
      <c r="AA74" s="10">
        <v>0</v>
      </c>
      <c r="AB74" s="10">
        <f>Y74*Z74*24</f>
      </c>
      <c r="AC74" s="10">
        <f>S74*AA74</f>
      </c>
      <c r="AD74" s="10">
        <f>T74*AA74</f>
      </c>
      <c r="AE74" s="10">
        <v>0</v>
      </c>
      <c r="AF74" s="10">
        <v>0</v>
      </c>
      <c r="AG74" s="10">
        <f>SUM(AB74:AF74)</f>
      </c>
      <c r="AH74" s="13"/>
      <c r="AI74" s="13"/>
      <c r="AJ74" s="13"/>
      <c r="AK74" s="13"/>
      <c r="AL74" s="13"/>
      <c r="AM74" s="16"/>
      <c r="AN74" s="16"/>
      <c r="AO74" s="13" t="s">
        <v>61</v>
      </c>
      <c r="AP74" s="6">
        <f>Q74</f>
      </c>
    </row>
    <row r="75" ht="18" customHeight="1" spans="1:42" x14ac:dyDescent="0.25">
      <c r="A75" s="13" t="s">
        <v>38</v>
      </c>
      <c r="B75" s="13" t="s">
        <v>39</v>
      </c>
      <c r="C75" s="13" t="s">
        <v>40</v>
      </c>
      <c r="D75" s="13" t="s">
        <v>41</v>
      </c>
      <c r="E75" s="13" t="s">
        <v>84</v>
      </c>
      <c r="F75" s="13" t="s">
        <v>422</v>
      </c>
      <c r="G75" s="13" t="s">
        <v>61</v>
      </c>
      <c r="H75" s="13" t="s">
        <v>423</v>
      </c>
      <c r="I75" s="13" t="s">
        <v>195</v>
      </c>
      <c r="J75" s="13" t="s">
        <v>424</v>
      </c>
      <c r="K75" s="14" t="s">
        <v>425</v>
      </c>
      <c r="L75" s="14" t="s">
        <v>49</v>
      </c>
      <c r="M75" s="14" t="s">
        <v>272</v>
      </c>
      <c r="N75" s="13" t="s">
        <v>61</v>
      </c>
      <c r="O75" s="6">
        <v>127262</v>
      </c>
      <c r="P75" s="6">
        <v>127282</v>
      </c>
      <c r="Q75" s="6">
        <f>P75-O75</f>
      </c>
      <c r="R75" s="6">
        <v>0</v>
      </c>
      <c r="S75" s="6">
        <f>IF(Q75-R75&lt;0,"0",Q75-R75)</f>
      </c>
      <c r="T75" s="6">
        <v>0</v>
      </c>
      <c r="U75" s="15">
        <v>46183.22916666667</v>
      </c>
      <c r="V75" s="15">
        <v>46183.32283564815</v>
      </c>
      <c r="W75" s="9">
        <f>V75-U75</f>
      </c>
      <c r="X75" s="9">
        <v>0</v>
      </c>
      <c r="Y75" s="9">
        <f>IF(W75-X75&lt;0,"00:00:00",W75-X75)</f>
      </c>
      <c r="Z75" s="10">
        <v>0</v>
      </c>
      <c r="AA75" s="10">
        <v>0</v>
      </c>
      <c r="AB75" s="10">
        <f>Y75*Z75*24</f>
      </c>
      <c r="AC75" s="10">
        <f>S75*AA75</f>
      </c>
      <c r="AD75" s="10">
        <f>T75*AA75</f>
      </c>
      <c r="AE75" s="10">
        <v>0</v>
      </c>
      <c r="AF75" s="10">
        <v>0</v>
      </c>
      <c r="AG75" s="10">
        <f>SUM(AB75:AF75)</f>
      </c>
      <c r="AH75" s="13"/>
      <c r="AI75" s="13"/>
      <c r="AJ75" s="13"/>
      <c r="AK75" s="13"/>
      <c r="AL75" s="13"/>
      <c r="AM75" s="16"/>
      <c r="AN75" s="16"/>
      <c r="AO75" s="13" t="s">
        <v>61</v>
      </c>
      <c r="AP75" s="6">
        <f>Q75</f>
      </c>
    </row>
    <row r="76" ht="18" customHeight="1" spans="1:42" x14ac:dyDescent="0.25">
      <c r="A76" s="13" t="s">
        <v>38</v>
      </c>
      <c r="B76" s="13" t="s">
        <v>39</v>
      </c>
      <c r="C76" s="13" t="s">
        <v>40</v>
      </c>
      <c r="D76" s="13" t="s">
        <v>41</v>
      </c>
      <c r="E76" s="13" t="s">
        <v>84</v>
      </c>
      <c r="F76" s="13" t="s">
        <v>426</v>
      </c>
      <c r="G76" s="13" t="s">
        <v>61</v>
      </c>
      <c r="H76" s="13" t="s">
        <v>427</v>
      </c>
      <c r="I76" s="13" t="s">
        <v>428</v>
      </c>
      <c r="J76" s="13" t="s">
        <v>429</v>
      </c>
      <c r="K76" s="14" t="s">
        <v>360</v>
      </c>
      <c r="L76" s="14" t="s">
        <v>49</v>
      </c>
      <c r="M76" s="14" t="s">
        <v>301</v>
      </c>
      <c r="N76" s="13" t="s">
        <v>49</v>
      </c>
      <c r="O76" s="6">
        <v>264362</v>
      </c>
      <c r="P76" s="6">
        <v>264424</v>
      </c>
      <c r="Q76" s="6">
        <f>P76-O76</f>
      </c>
      <c r="R76" s="6">
        <v>0</v>
      </c>
      <c r="S76" s="6">
        <f>IF(Q76-R76&lt;0,"0",Q76-R76)</f>
      </c>
      <c r="T76" s="6">
        <v>0</v>
      </c>
      <c r="U76" s="15">
        <v>46183.20833333333</v>
      </c>
      <c r="V76" s="15">
        <v>46183.4115625</v>
      </c>
      <c r="W76" s="9">
        <f>V76-U76</f>
      </c>
      <c r="X76" s="9">
        <v>0</v>
      </c>
      <c r="Y76" s="9">
        <f>IF(W76-X76&lt;0,"00:00:00",W76-X76)</f>
      </c>
      <c r="Z76" s="10">
        <v>0</v>
      </c>
      <c r="AA76" s="10">
        <v>0</v>
      </c>
      <c r="AB76" s="10">
        <f>Y76*Z76*24</f>
      </c>
      <c r="AC76" s="10">
        <f>S76*AA76</f>
      </c>
      <c r="AD76" s="10">
        <f>T76*AA76</f>
      </c>
      <c r="AE76" s="10">
        <v>0</v>
      </c>
      <c r="AF76" s="10">
        <v>5.4</v>
      </c>
      <c r="AG76" s="10">
        <f>SUM(AB76:AF76)</f>
      </c>
      <c r="AH76" s="13"/>
      <c r="AI76" s="13"/>
      <c r="AJ76" s="13"/>
      <c r="AK76" s="13"/>
      <c r="AL76" s="13"/>
      <c r="AM76" s="16"/>
      <c r="AN76" s="16"/>
      <c r="AO76" s="13" t="s">
        <v>61</v>
      </c>
      <c r="AP76" s="6">
        <f>Q76</f>
      </c>
    </row>
    <row r="77" ht="18" customHeight="1" spans="1:42" x14ac:dyDescent="0.25">
      <c r="A77" s="13" t="s">
        <v>38</v>
      </c>
      <c r="B77" s="13" t="s">
        <v>39</v>
      </c>
      <c r="C77" s="13" t="s">
        <v>40</v>
      </c>
      <c r="D77" s="13" t="s">
        <v>41</v>
      </c>
      <c r="E77" s="13" t="s">
        <v>84</v>
      </c>
      <c r="F77" s="13" t="s">
        <v>430</v>
      </c>
      <c r="G77" s="13" t="s">
        <v>61</v>
      </c>
      <c r="H77" s="13" t="s">
        <v>431</v>
      </c>
      <c r="I77" s="13" t="s">
        <v>432</v>
      </c>
      <c r="J77" s="13" t="s">
        <v>429</v>
      </c>
      <c r="K77" s="14" t="s">
        <v>360</v>
      </c>
      <c r="L77" s="14" t="s">
        <v>49</v>
      </c>
      <c r="M77" s="14" t="s">
        <v>301</v>
      </c>
      <c r="N77" s="13" t="s">
        <v>49</v>
      </c>
      <c r="O77" s="6">
        <v>502488</v>
      </c>
      <c r="P77" s="6">
        <v>502550</v>
      </c>
      <c r="Q77" s="6">
        <f>P77-O77</f>
      </c>
      <c r="R77" s="6">
        <v>0</v>
      </c>
      <c r="S77" s="6">
        <f>IF(Q77-R77&lt;0,"0",Q77-R77)</f>
      </c>
      <c r="T77" s="6">
        <v>0</v>
      </c>
      <c r="U77" s="15">
        <v>46183.20833333333</v>
      </c>
      <c r="V77" s="15">
        <v>46183.413148148145</v>
      </c>
      <c r="W77" s="9">
        <f>V77-U77</f>
      </c>
      <c r="X77" s="9">
        <v>0</v>
      </c>
      <c r="Y77" s="9">
        <f>IF(W77-X77&lt;0,"00:00:00",W77-X77)</f>
      </c>
      <c r="Z77" s="10">
        <v>0</v>
      </c>
      <c r="AA77" s="10">
        <v>0</v>
      </c>
      <c r="AB77" s="10">
        <f>Y77*Z77*24</f>
      </c>
      <c r="AC77" s="10">
        <f>S77*AA77</f>
      </c>
      <c r="AD77" s="10">
        <f>T77*AA77</f>
      </c>
      <c r="AE77" s="10">
        <v>0</v>
      </c>
      <c r="AF77" s="10">
        <v>0</v>
      </c>
      <c r="AG77" s="10">
        <f>SUM(AB77:AF77)</f>
      </c>
      <c r="AH77" s="13"/>
      <c r="AI77" s="13"/>
      <c r="AJ77" s="13"/>
      <c r="AK77" s="13"/>
      <c r="AL77" s="13"/>
      <c r="AM77" s="16"/>
      <c r="AN77" s="16"/>
      <c r="AO77" s="13" t="s">
        <v>61</v>
      </c>
      <c r="AP77" s="6">
        <f>Q77</f>
      </c>
    </row>
    <row r="78" ht="18" customHeight="1" spans="1:42" x14ac:dyDescent="0.25">
      <c r="A78" s="13" t="s">
        <v>38</v>
      </c>
      <c r="B78" s="13" t="s">
        <v>39</v>
      </c>
      <c r="C78" s="13" t="s">
        <v>40</v>
      </c>
      <c r="D78" s="13" t="s">
        <v>41</v>
      </c>
      <c r="E78" s="13" t="s">
        <v>84</v>
      </c>
      <c r="F78" s="13" t="s">
        <v>433</v>
      </c>
      <c r="G78" s="13" t="s">
        <v>61</v>
      </c>
      <c r="H78" s="13" t="s">
        <v>434</v>
      </c>
      <c r="I78" s="13" t="s">
        <v>435</v>
      </c>
      <c r="J78" s="13" t="s">
        <v>429</v>
      </c>
      <c r="K78" s="14" t="s">
        <v>360</v>
      </c>
      <c r="L78" s="14" t="s">
        <v>49</v>
      </c>
      <c r="M78" s="14" t="s">
        <v>301</v>
      </c>
      <c r="N78" s="13" t="s">
        <v>49</v>
      </c>
      <c r="O78" s="6">
        <v>49652</v>
      </c>
      <c r="P78" s="6">
        <v>49713</v>
      </c>
      <c r="Q78" s="6">
        <f>P78-O78</f>
      </c>
      <c r="R78" s="6">
        <v>0</v>
      </c>
      <c r="S78" s="6">
        <f>IF(Q78-R78&lt;0,"0",Q78-R78)</f>
      </c>
      <c r="T78" s="6">
        <v>0</v>
      </c>
      <c r="U78" s="15">
        <v>46183.20833333333</v>
      </c>
      <c r="V78" s="15">
        <v>46183.41537037037</v>
      </c>
      <c r="W78" s="9">
        <f>V78-U78</f>
      </c>
      <c r="X78" s="9">
        <v>0</v>
      </c>
      <c r="Y78" s="9">
        <f>IF(W78-X78&lt;0,"00:00:00",W78-X78)</f>
      </c>
      <c r="Z78" s="10">
        <v>0</v>
      </c>
      <c r="AA78" s="10">
        <v>0</v>
      </c>
      <c r="AB78" s="10">
        <f>Y78*Z78*24</f>
      </c>
      <c r="AC78" s="10">
        <f>S78*AA78</f>
      </c>
      <c r="AD78" s="10">
        <f>T78*AA78</f>
      </c>
      <c r="AE78" s="10">
        <v>0</v>
      </c>
      <c r="AF78" s="10">
        <v>9</v>
      </c>
      <c r="AG78" s="10">
        <f>SUM(AB78:AF78)</f>
      </c>
      <c r="AH78" s="13"/>
      <c r="AI78" s="13"/>
      <c r="AJ78" s="13"/>
      <c r="AK78" s="13"/>
      <c r="AL78" s="13"/>
      <c r="AM78" s="16"/>
      <c r="AN78" s="16"/>
      <c r="AO78" s="13" t="s">
        <v>61</v>
      </c>
      <c r="AP78" s="6">
        <f>Q78</f>
      </c>
    </row>
    <row r="79" ht="18" customHeight="1" spans="1:42" x14ac:dyDescent="0.25">
      <c r="A79" s="13" t="s">
        <v>38</v>
      </c>
      <c r="B79" s="13" t="s">
        <v>39</v>
      </c>
      <c r="C79" s="13" t="s">
        <v>40</v>
      </c>
      <c r="D79" s="13" t="s">
        <v>351</v>
      </c>
      <c r="E79" s="13" t="s">
        <v>114</v>
      </c>
      <c r="F79" s="13" t="s">
        <v>436</v>
      </c>
      <c r="G79" s="13" t="s">
        <v>61</v>
      </c>
      <c r="H79" s="13" t="s">
        <v>437</v>
      </c>
      <c r="I79" s="13" t="s">
        <v>333</v>
      </c>
      <c r="J79" s="13" t="s">
        <v>438</v>
      </c>
      <c r="K79" s="14" t="s">
        <v>81</v>
      </c>
      <c r="L79" s="14" t="s">
        <v>49</v>
      </c>
      <c r="M79" s="14" t="s">
        <v>439</v>
      </c>
      <c r="N79" s="13" t="s">
        <v>70</v>
      </c>
      <c r="O79" s="6">
        <v>567</v>
      </c>
      <c r="P79" s="6">
        <v>0</v>
      </c>
      <c r="Q79" s="6">
        <f>P79-O79</f>
      </c>
      <c r="R79" s="6">
        <v>0</v>
      </c>
      <c r="S79" s="6">
        <f>IF(Q79-R79&lt;0,"0",Q79-R79)</f>
      </c>
      <c r="T79" s="6">
        <v>0</v>
      </c>
      <c r="U79" s="15">
        <v>46183.20833333333</v>
      </c>
      <c r="V79" s="15">
        <v>46183.59715277777</v>
      </c>
      <c r="W79" s="9">
        <f>V79-U79</f>
      </c>
      <c r="X79" s="9">
        <v>0</v>
      </c>
      <c r="Y79" s="9">
        <f>IF(W79-X79&lt;0,"00:00:00",W79-X79)</f>
      </c>
      <c r="Z79" s="10">
        <v>0</v>
      </c>
      <c r="AA79" s="10">
        <v>0</v>
      </c>
      <c r="AB79" s="10">
        <f>Y79*Z79*24</f>
      </c>
      <c r="AC79" s="10">
        <f>S79*AA79</f>
      </c>
      <c r="AD79" s="10">
        <f>T79*AA79</f>
      </c>
      <c r="AE79" s="10">
        <v>0</v>
      </c>
      <c r="AF79" s="10">
        <v>0</v>
      </c>
      <c r="AG79" s="10">
        <f>SUM(AB79:AF79)</f>
      </c>
      <c r="AH79" s="13"/>
      <c r="AI79" s="13"/>
      <c r="AJ79" s="13"/>
      <c r="AK79" s="13"/>
      <c r="AL79" s="13"/>
      <c r="AM79" s="16"/>
      <c r="AN79" s="16"/>
      <c r="AO79" s="13" t="s">
        <v>61</v>
      </c>
      <c r="AP79" s="6">
        <f>Q79</f>
      </c>
    </row>
    <row r="80" ht="18" customHeight="1" spans="1:42" x14ac:dyDescent="0.25">
      <c r="A80" s="3" t="s">
        <v>38</v>
      </c>
      <c r="B80" s="3" t="s">
        <v>39</v>
      </c>
      <c r="C80" s="3" t="s">
        <v>40</v>
      </c>
      <c r="D80" s="3" t="s">
        <v>41</v>
      </c>
      <c r="E80" s="3" t="s">
        <v>84</v>
      </c>
      <c r="F80" s="3" t="s">
        <v>440</v>
      </c>
      <c r="G80" s="12" t="s">
        <v>61</v>
      </c>
      <c r="H80" s="3" t="s">
        <v>441</v>
      </c>
      <c r="I80" s="3" t="s">
        <v>316</v>
      </c>
      <c r="J80" s="3" t="s">
        <v>442</v>
      </c>
      <c r="K80" s="4" t="s">
        <v>287</v>
      </c>
      <c r="L80" s="4" t="s">
        <v>49</v>
      </c>
      <c r="M80" s="4" t="s">
        <v>288</v>
      </c>
      <c r="N80" s="3" t="s">
        <v>49</v>
      </c>
      <c r="O80" s="5">
        <v>39780</v>
      </c>
      <c r="P80" s="5">
        <v>39818</v>
      </c>
      <c r="Q80" s="5">
        <f>P80-O80</f>
      </c>
      <c r="R80" s="6">
        <v>100</v>
      </c>
      <c r="S80" s="5">
        <f>IF(Q80-R80&lt;0,"0",Q80-R80)</f>
      </c>
      <c r="T80" s="5">
        <v>0</v>
      </c>
      <c r="U80" s="7">
        <v>46182.913194444445</v>
      </c>
      <c r="V80" s="7">
        <v>46182.9455787037</v>
      </c>
      <c r="W80" s="8">
        <f>V80-U80</f>
      </c>
      <c r="X80" s="9">
        <v>0.125</v>
      </c>
      <c r="Y80" s="8">
        <f>IF(W80-X80&lt;0,"00:00:00",W80-X80)</f>
      </c>
      <c r="Z80" s="10">
        <v>145</v>
      </c>
      <c r="AA80" s="10">
        <v>0</v>
      </c>
      <c r="AB80" s="11">
        <f>Y80*Z80*24</f>
      </c>
      <c r="AC80" s="11">
        <f>S80*AA80</f>
      </c>
      <c r="AD80" s="11">
        <f>T80*AA80</f>
      </c>
      <c r="AE80" s="10">
        <v>690</v>
      </c>
      <c r="AF80" s="11">
        <v>0</v>
      </c>
      <c r="AG80" s="11">
        <f>SUM(AB80:AF80)</f>
      </c>
      <c r="AH80" s="3"/>
      <c r="AI80" s="3"/>
      <c r="AJ80" s="3"/>
      <c r="AK80" s="3"/>
      <c r="AL80" s="3"/>
      <c r="AO80" s="3" t="s">
        <v>62</v>
      </c>
      <c r="AP80" s="5">
        <f>Q80</f>
      </c>
    </row>
    <row r="81" ht="18" customHeight="1" spans="1:42" x14ac:dyDescent="0.25">
      <c r="A81" s="3" t="s">
        <v>38</v>
      </c>
      <c r="B81" s="3" t="s">
        <v>39</v>
      </c>
      <c r="C81" s="3" t="s">
        <v>40</v>
      </c>
      <c r="D81" s="3" t="s">
        <v>41</v>
      </c>
      <c r="E81" s="3" t="s">
        <v>53</v>
      </c>
      <c r="F81" s="3" t="s">
        <v>443</v>
      </c>
      <c r="G81" s="12" t="s">
        <v>61</v>
      </c>
      <c r="H81" s="3" t="s">
        <v>444</v>
      </c>
      <c r="I81" s="3" t="s">
        <v>445</v>
      </c>
      <c r="J81" s="3" t="s">
        <v>446</v>
      </c>
      <c r="K81" s="4" t="s">
        <v>148</v>
      </c>
      <c r="L81" s="4" t="s">
        <v>49</v>
      </c>
      <c r="M81" s="4" t="s">
        <v>82</v>
      </c>
      <c r="N81" s="12" t="s">
        <v>61</v>
      </c>
      <c r="O81" s="5">
        <v>208998</v>
      </c>
      <c r="P81" s="5">
        <v>209198</v>
      </c>
      <c r="Q81" s="5">
        <f>P81-O81</f>
      </c>
      <c r="R81" s="6">
        <v>200</v>
      </c>
      <c r="S81" s="5">
        <f>IF(Q81-R81&lt;0,"0",Q81-R81)</f>
      </c>
      <c r="T81" s="5">
        <v>0</v>
      </c>
      <c r="U81" s="7">
        <v>46183.04166666667</v>
      </c>
      <c r="V81" s="7">
        <v>46183.18748842593</v>
      </c>
      <c r="W81" s="8">
        <f>V81-U81</f>
      </c>
      <c r="X81" s="9">
        <v>0.25</v>
      </c>
      <c r="Y81" s="8">
        <f>IF(W81-X81&lt;0,"00:00:00",W81-X81)</f>
      </c>
      <c r="Z81" s="10">
        <v>145</v>
      </c>
      <c r="AA81" s="10">
        <v>0</v>
      </c>
      <c r="AB81" s="11">
        <f>Y81*Z81*24</f>
      </c>
      <c r="AC81" s="11">
        <f>S81*AA81</f>
      </c>
      <c r="AD81" s="11">
        <f>T81*AA81</f>
      </c>
      <c r="AE81" s="10">
        <v>1380</v>
      </c>
      <c r="AF81" s="11">
        <v>0</v>
      </c>
      <c r="AG81" s="11">
        <f>SUM(AB81:AF81)</f>
      </c>
      <c r="AH81" s="3"/>
      <c r="AI81" s="3"/>
      <c r="AJ81" s="3"/>
      <c r="AK81" s="3"/>
      <c r="AL81" s="3"/>
      <c r="AO81" s="3" t="s">
        <v>161</v>
      </c>
      <c r="AP81" s="5">
        <f>Q81</f>
      </c>
    </row>
    <row r="82" ht="18" customHeight="1" spans="1:42" x14ac:dyDescent="0.25">
      <c r="A82" s="3" t="s">
        <v>38</v>
      </c>
      <c r="B82" s="3" t="s">
        <v>39</v>
      </c>
      <c r="C82" s="3" t="s">
        <v>40</v>
      </c>
      <c r="D82" s="3" t="s">
        <v>41</v>
      </c>
      <c r="E82" s="3" t="s">
        <v>53</v>
      </c>
      <c r="F82" s="3" t="s">
        <v>447</v>
      </c>
      <c r="G82" s="12" t="s">
        <v>61</v>
      </c>
      <c r="H82" s="3" t="s">
        <v>448</v>
      </c>
      <c r="I82" s="3" t="s">
        <v>79</v>
      </c>
      <c r="J82" s="3" t="s">
        <v>449</v>
      </c>
      <c r="K82" s="4" t="s">
        <v>148</v>
      </c>
      <c r="L82" s="4" t="s">
        <v>49</v>
      </c>
      <c r="M82" s="4" t="s">
        <v>82</v>
      </c>
      <c r="N82" s="12" t="s">
        <v>61</v>
      </c>
      <c r="O82" s="5">
        <v>429162</v>
      </c>
      <c r="P82" s="5">
        <v>429362</v>
      </c>
      <c r="Q82" s="5">
        <f>P82-O82</f>
      </c>
      <c r="R82" s="6">
        <v>200</v>
      </c>
      <c r="S82" s="5">
        <f>IF(Q82-R82&lt;0,"0",Q82-R82)</f>
      </c>
      <c r="T82" s="5">
        <v>0</v>
      </c>
      <c r="U82" s="7">
        <v>46183.04166666667</v>
      </c>
      <c r="V82" s="7">
        <v>46183.24804398148</v>
      </c>
      <c r="W82" s="8">
        <f>V82-U82</f>
      </c>
      <c r="X82" s="9">
        <v>0.25</v>
      </c>
      <c r="Y82" s="8">
        <f>IF(W82-X82&lt;0,"00:00:00",W82-X82)</f>
      </c>
      <c r="Z82" s="10">
        <v>145</v>
      </c>
      <c r="AA82" s="10">
        <v>0</v>
      </c>
      <c r="AB82" s="11">
        <f>Y82*Z82*24</f>
      </c>
      <c r="AC82" s="11">
        <f>S82*AA82</f>
      </c>
      <c r="AD82" s="11">
        <f>T82*AA82</f>
      </c>
      <c r="AE82" s="10">
        <v>1380</v>
      </c>
      <c r="AF82" s="11">
        <v>0</v>
      </c>
      <c r="AG82" s="11">
        <f>SUM(AB82:AF82)</f>
      </c>
      <c r="AH82" s="3"/>
      <c r="AI82" s="3"/>
      <c r="AJ82" s="3"/>
      <c r="AK82" s="3"/>
      <c r="AL82" s="3"/>
      <c r="AO82" s="3" t="s">
        <v>161</v>
      </c>
      <c r="AP82" s="5">
        <f>Q82</f>
      </c>
    </row>
    <row r="83" ht="18" customHeight="1" spans="1:42" x14ac:dyDescent="0.25">
      <c r="A83" s="13" t="s">
        <v>38</v>
      </c>
      <c r="B83" s="13" t="s">
        <v>39</v>
      </c>
      <c r="C83" s="13" t="s">
        <v>40</v>
      </c>
      <c r="D83" s="13" t="s">
        <v>41</v>
      </c>
      <c r="E83" s="13" t="s">
        <v>84</v>
      </c>
      <c r="F83" s="13" t="s">
        <v>450</v>
      </c>
      <c r="G83" s="13" t="s">
        <v>61</v>
      </c>
      <c r="H83" s="13" t="s">
        <v>451</v>
      </c>
      <c r="I83" s="13" t="s">
        <v>110</v>
      </c>
      <c r="J83" s="13" t="s">
        <v>452</v>
      </c>
      <c r="K83" s="14" t="s">
        <v>81</v>
      </c>
      <c r="L83" s="14" t="s">
        <v>49</v>
      </c>
      <c r="M83" s="14" t="s">
        <v>453</v>
      </c>
      <c r="N83" s="13" t="s">
        <v>49</v>
      </c>
      <c r="O83" s="6">
        <v>160279</v>
      </c>
      <c r="P83" s="6">
        <v>160314</v>
      </c>
      <c r="Q83" s="6">
        <f>P83-O83</f>
      </c>
      <c r="R83" s="6">
        <v>0</v>
      </c>
      <c r="S83" s="6">
        <f>IF(Q83-R83&lt;0,"0",Q83-R83)</f>
      </c>
      <c r="T83" s="6">
        <v>0</v>
      </c>
      <c r="U83" s="15">
        <v>46183.25</v>
      </c>
      <c r="V83" s="15">
        <v>46183.53418981482</v>
      </c>
      <c r="W83" s="9">
        <f>V83-U83</f>
      </c>
      <c r="X83" s="9">
        <v>0</v>
      </c>
      <c r="Y83" s="9">
        <f>IF(W83-X83&lt;0,"00:00:00",W83-X83)</f>
      </c>
      <c r="Z83" s="10">
        <v>0</v>
      </c>
      <c r="AA83" s="10">
        <v>0</v>
      </c>
      <c r="AB83" s="10">
        <f>Y83*Z83*24</f>
      </c>
      <c r="AC83" s="10">
        <f>S83*AA83</f>
      </c>
      <c r="AD83" s="10">
        <f>T83*AA83</f>
      </c>
      <c r="AE83" s="10">
        <v>0</v>
      </c>
      <c r="AF83" s="10">
        <v>0</v>
      </c>
      <c r="AG83" s="10">
        <f>SUM(AB83:AF83)</f>
      </c>
      <c r="AH83" s="13"/>
      <c r="AI83" s="13"/>
      <c r="AJ83" s="13"/>
      <c r="AK83" s="13"/>
      <c r="AL83" s="13"/>
      <c r="AM83" s="16"/>
      <c r="AN83" s="16"/>
      <c r="AO83" s="13" t="s">
        <v>61</v>
      </c>
      <c r="AP83" s="6">
        <f>Q83</f>
      </c>
    </row>
    <row r="84" ht="18" customHeight="1" spans="1:42" x14ac:dyDescent="0.25">
      <c r="A84" s="13" t="s">
        <v>38</v>
      </c>
      <c r="B84" s="13" t="s">
        <v>39</v>
      </c>
      <c r="C84" s="13" t="s">
        <v>40</v>
      </c>
      <c r="D84" s="13" t="s">
        <v>41</v>
      </c>
      <c r="E84" s="13" t="s">
        <v>84</v>
      </c>
      <c r="F84" s="13" t="s">
        <v>454</v>
      </c>
      <c r="G84" s="13" t="s">
        <v>61</v>
      </c>
      <c r="H84" s="13" t="s">
        <v>455</v>
      </c>
      <c r="I84" s="13" t="s">
        <v>110</v>
      </c>
      <c r="J84" s="13" t="s">
        <v>456</v>
      </c>
      <c r="K84" s="14" t="s">
        <v>81</v>
      </c>
      <c r="L84" s="14" t="s">
        <v>49</v>
      </c>
      <c r="M84" s="14" t="s">
        <v>148</v>
      </c>
      <c r="N84" s="13" t="s">
        <v>49</v>
      </c>
      <c r="O84" s="6">
        <v>160157</v>
      </c>
      <c r="P84" s="6">
        <v>160217</v>
      </c>
      <c r="Q84" s="6">
        <f>P84-O84</f>
      </c>
      <c r="R84" s="6">
        <v>0</v>
      </c>
      <c r="S84" s="6">
        <f>IF(Q84-R84&lt;0,"0",Q84-R84)</f>
      </c>
      <c r="T84" s="6">
        <v>0</v>
      </c>
      <c r="U84" s="15">
        <v>46183.03472222222</v>
      </c>
      <c r="V84" s="15">
        <v>46183.06045138889</v>
      </c>
      <c r="W84" s="9">
        <f>V84-U84</f>
      </c>
      <c r="X84" s="9">
        <v>0</v>
      </c>
      <c r="Y84" s="9">
        <f>IF(W84-X84&lt;0,"00:00:00",W84-X84)</f>
      </c>
      <c r="Z84" s="10">
        <v>0</v>
      </c>
      <c r="AA84" s="10">
        <v>0</v>
      </c>
      <c r="AB84" s="10">
        <f>Y84*Z84*24</f>
      </c>
      <c r="AC84" s="10">
        <f>S84*AA84</f>
      </c>
      <c r="AD84" s="10">
        <f>T84*AA84</f>
      </c>
      <c r="AE84" s="10">
        <v>0</v>
      </c>
      <c r="AF84" s="10">
        <v>9.4</v>
      </c>
      <c r="AG84" s="10">
        <f>SUM(AB84:AF84)</f>
      </c>
      <c r="AH84" s="13"/>
      <c r="AI84" s="13"/>
      <c r="AJ84" s="13"/>
      <c r="AK84" s="13"/>
      <c r="AL84" s="13"/>
      <c r="AM84" s="16"/>
      <c r="AN84" s="16"/>
      <c r="AO84" s="13" t="s">
        <v>61</v>
      </c>
      <c r="AP84" s="6">
        <f>Q84</f>
      </c>
    </row>
    <row r="85" ht="18" customHeight="1" spans="1:42" x14ac:dyDescent="0.25">
      <c r="A85" s="13" t="s">
        <v>38</v>
      </c>
      <c r="B85" s="13" t="s">
        <v>39</v>
      </c>
      <c r="C85" s="13" t="s">
        <v>40</v>
      </c>
      <c r="D85" s="13" t="s">
        <v>41</v>
      </c>
      <c r="E85" s="13" t="s">
        <v>84</v>
      </c>
      <c r="F85" s="13" t="s">
        <v>457</v>
      </c>
      <c r="G85" s="13" t="s">
        <v>61</v>
      </c>
      <c r="H85" s="13" t="s">
        <v>458</v>
      </c>
      <c r="I85" s="13" t="s">
        <v>316</v>
      </c>
      <c r="J85" s="13" t="s">
        <v>459</v>
      </c>
      <c r="K85" s="14" t="s">
        <v>148</v>
      </c>
      <c r="L85" s="14" t="s">
        <v>49</v>
      </c>
      <c r="M85" s="14" t="s">
        <v>460</v>
      </c>
      <c r="N85" s="13" t="s">
        <v>61</v>
      </c>
      <c r="O85" s="6">
        <v>39862</v>
      </c>
      <c r="P85" s="6">
        <v>39928</v>
      </c>
      <c r="Q85" s="6">
        <f>P85-O85</f>
      </c>
      <c r="R85" s="6">
        <v>0</v>
      </c>
      <c r="S85" s="6">
        <f>IF(Q85-R85&lt;0,"0",Q85-R85)</f>
      </c>
      <c r="T85" s="6">
        <v>0</v>
      </c>
      <c r="U85" s="15">
        <v>46183.20833333333</v>
      </c>
      <c r="V85" s="15">
        <v>46183.36607638889</v>
      </c>
      <c r="W85" s="9">
        <f>V85-U85</f>
      </c>
      <c r="X85" s="9">
        <v>0</v>
      </c>
      <c r="Y85" s="9">
        <f>IF(W85-X85&lt;0,"00:00:00",W85-X85)</f>
      </c>
      <c r="Z85" s="10">
        <v>0</v>
      </c>
      <c r="AA85" s="10">
        <v>0</v>
      </c>
      <c r="AB85" s="10">
        <f>Y85*Z85*24</f>
      </c>
      <c r="AC85" s="10">
        <f>S85*AA85</f>
      </c>
      <c r="AD85" s="10">
        <f>T85*AA85</f>
      </c>
      <c r="AE85" s="10">
        <v>0</v>
      </c>
      <c r="AF85" s="10">
        <v>0</v>
      </c>
      <c r="AG85" s="10">
        <f>SUM(AB85:AF85)</f>
      </c>
      <c r="AH85" s="13"/>
      <c r="AI85" s="13"/>
      <c r="AJ85" s="13"/>
      <c r="AK85" s="13"/>
      <c r="AL85" s="13"/>
      <c r="AM85" s="16"/>
      <c r="AN85" s="16"/>
      <c r="AO85" s="13" t="s">
        <v>61</v>
      </c>
      <c r="AP85" s="6">
        <f>Q85</f>
      </c>
    </row>
    <row r="86" ht="18" customHeight="1" spans="1:42" x14ac:dyDescent="0.25">
      <c r="A86" s="13" t="s">
        <v>38</v>
      </c>
      <c r="B86" s="13" t="s">
        <v>39</v>
      </c>
      <c r="C86" s="13" t="s">
        <v>40</v>
      </c>
      <c r="D86" s="13" t="s">
        <v>370</v>
      </c>
      <c r="E86" s="13" t="s">
        <v>461</v>
      </c>
      <c r="F86" s="13" t="s">
        <v>462</v>
      </c>
      <c r="G86" s="13" t="s">
        <v>61</v>
      </c>
      <c r="H86" s="13" t="s">
        <v>463</v>
      </c>
      <c r="I86" s="13" t="s">
        <v>464</v>
      </c>
      <c r="J86" s="13" t="s">
        <v>61</v>
      </c>
      <c r="K86" s="14" t="s">
        <v>465</v>
      </c>
      <c r="L86" s="14" t="s">
        <v>466</v>
      </c>
      <c r="M86" s="14" t="s">
        <v>467</v>
      </c>
      <c r="N86" s="13" t="s">
        <v>466</v>
      </c>
      <c r="O86" s="6">
        <v>102196</v>
      </c>
      <c r="P86" s="6">
        <v>0</v>
      </c>
      <c r="Q86" s="6">
        <f>P86-O86</f>
      </c>
      <c r="R86" s="6">
        <v>0</v>
      </c>
      <c r="S86" s="6">
        <f>IF(Q86-R86&lt;0,"0",Q86-R86)</f>
      </c>
      <c r="T86" s="6">
        <v>0</v>
      </c>
      <c r="U86" s="15">
        <v>46183.52083333333</v>
      </c>
      <c r="V86" s="15">
        <v>46183.60743055555</v>
      </c>
      <c r="W86" s="9">
        <f>V86-U86</f>
      </c>
      <c r="X86" s="9">
        <v>0</v>
      </c>
      <c r="Y86" s="9">
        <f>IF(W86-X86&lt;0,"00:00:00",W86-X86)</f>
      </c>
      <c r="Z86" s="10">
        <v>0</v>
      </c>
      <c r="AA86" s="10">
        <v>0</v>
      </c>
      <c r="AB86" s="10">
        <f>Y86*Z86*24</f>
      </c>
      <c r="AC86" s="10">
        <f>S86*AA86</f>
      </c>
      <c r="AD86" s="10">
        <f>T86*AA86</f>
      </c>
      <c r="AE86" s="10">
        <v>0</v>
      </c>
      <c r="AF86" s="10">
        <v>0</v>
      </c>
      <c r="AG86" s="10">
        <f>SUM(AB86:AF86)</f>
      </c>
      <c r="AH86" s="13"/>
      <c r="AI86" s="13"/>
      <c r="AJ86" s="13"/>
      <c r="AK86" s="13"/>
      <c r="AL86" s="13"/>
      <c r="AM86" s="16"/>
      <c r="AN86" s="16"/>
      <c r="AO86" s="13" t="s">
        <v>61</v>
      </c>
      <c r="AP86" s="6">
        <f>Q86</f>
      </c>
    </row>
    <row r="87" ht="18" customHeight="1" spans="1:42" x14ac:dyDescent="0.25">
      <c r="A87" s="13" t="s">
        <v>38</v>
      </c>
      <c r="B87" s="13" t="s">
        <v>39</v>
      </c>
      <c r="C87" s="13" t="s">
        <v>40</v>
      </c>
      <c r="D87" s="13" t="s">
        <v>468</v>
      </c>
      <c r="E87" s="13" t="s">
        <v>84</v>
      </c>
      <c r="F87" s="13" t="s">
        <v>469</v>
      </c>
      <c r="G87" s="13" t="s">
        <v>61</v>
      </c>
      <c r="H87" s="13" t="s">
        <v>470</v>
      </c>
      <c r="I87" s="13" t="s">
        <v>471</v>
      </c>
      <c r="J87" s="13" t="s">
        <v>61</v>
      </c>
      <c r="K87" s="14" t="s">
        <v>81</v>
      </c>
      <c r="L87" s="14" t="s">
        <v>49</v>
      </c>
      <c r="M87" s="14" t="s">
        <v>148</v>
      </c>
      <c r="N87" s="13" t="s">
        <v>49</v>
      </c>
      <c r="O87" s="6">
        <v>36046</v>
      </c>
      <c r="P87" s="6">
        <v>0</v>
      </c>
      <c r="Q87" s="6">
        <f>P87-O87</f>
      </c>
      <c r="R87" s="6">
        <v>0</v>
      </c>
      <c r="S87" s="6">
        <f>IF(Q87-R87&lt;0,"0",Q87-R87)</f>
      </c>
      <c r="T87" s="6">
        <v>0</v>
      </c>
      <c r="U87" s="15">
        <v>46183.5625</v>
      </c>
      <c r="V87" s="15">
        <v>46183.604479166665</v>
      </c>
      <c r="W87" s="9">
        <f>V87-U87</f>
      </c>
      <c r="X87" s="9">
        <v>0</v>
      </c>
      <c r="Y87" s="9">
        <f>IF(W87-X87&lt;0,"00:00:00",W87-X87)</f>
      </c>
      <c r="Z87" s="10">
        <v>0</v>
      </c>
      <c r="AA87" s="10">
        <v>0</v>
      </c>
      <c r="AB87" s="10">
        <f>Y87*Z87*24</f>
      </c>
      <c r="AC87" s="10">
        <f>S87*AA87</f>
      </c>
      <c r="AD87" s="10">
        <f>T87*AA87</f>
      </c>
      <c r="AE87" s="10">
        <v>0</v>
      </c>
      <c r="AF87" s="10">
        <v>0</v>
      </c>
      <c r="AG87" s="10">
        <f>SUM(AB87:AF87)</f>
      </c>
      <c r="AH87" s="13"/>
      <c r="AI87" s="13"/>
      <c r="AJ87" s="13"/>
      <c r="AK87" s="13"/>
      <c r="AL87" s="13"/>
      <c r="AM87" s="16"/>
      <c r="AN87" s="16"/>
      <c r="AO87" s="13" t="s">
        <v>61</v>
      </c>
      <c r="AP87" s="6">
        <f>Q87</f>
      </c>
    </row>
    <row r="88" ht="18" customHeight="1" spans="1:42" x14ac:dyDescent="0.25">
      <c r="A88" s="3" t="s">
        <v>38</v>
      </c>
      <c r="B88" s="3" t="s">
        <v>39</v>
      </c>
      <c r="C88" s="3" t="s">
        <v>40</v>
      </c>
      <c r="D88" s="3" t="s">
        <v>351</v>
      </c>
      <c r="E88" s="3" t="s">
        <v>92</v>
      </c>
      <c r="F88" s="3" t="s">
        <v>472</v>
      </c>
      <c r="G88" s="12" t="s">
        <v>61</v>
      </c>
      <c r="H88" s="3" t="s">
        <v>473</v>
      </c>
      <c r="I88" s="3" t="s">
        <v>409</v>
      </c>
      <c r="J88" s="12" t="s">
        <v>61</v>
      </c>
      <c r="K88" s="4" t="s">
        <v>81</v>
      </c>
      <c r="L88" s="4" t="s">
        <v>49</v>
      </c>
      <c r="M88" s="4" t="s">
        <v>96</v>
      </c>
      <c r="N88" s="12" t="s">
        <v>61</v>
      </c>
      <c r="O88" s="5">
        <v>21105</v>
      </c>
      <c r="P88" s="5">
        <v>0</v>
      </c>
      <c r="Q88" s="5">
        <v>400</v>
      </c>
      <c r="R88" s="6">
        <v>400</v>
      </c>
      <c r="S88" s="5">
        <f>IF(Q88-R88&lt;0,"0",Q88-R88)</f>
      </c>
      <c r="T88" s="5">
        <v>0</v>
      </c>
      <c r="U88" s="7">
        <v>46183.523611111115</v>
      </c>
      <c r="V88" s="7">
        <v>46183.563472222224</v>
      </c>
      <c r="W88" s="8">
        <f>V88-U88</f>
      </c>
      <c r="X88" s="9">
        <v>0.375</v>
      </c>
      <c r="Y88" s="8">
        <f>IF(W88-X88&lt;0,"00:00:00",W88-X88)</f>
      </c>
      <c r="Z88" s="10">
        <v>145</v>
      </c>
      <c r="AA88" s="10">
        <v>0</v>
      </c>
      <c r="AB88" s="11">
        <f>Y88*Z88*24</f>
      </c>
      <c r="AC88" s="11">
        <f>S88*AA88</f>
      </c>
      <c r="AD88" s="11">
        <f>T88*AA88</f>
      </c>
      <c r="AE88" s="10">
        <v>2760</v>
      </c>
      <c r="AF88" s="11">
        <v>0</v>
      </c>
      <c r="AG88" s="11">
        <f>SUM(AB88:AF88)</f>
      </c>
      <c r="AH88" s="3"/>
      <c r="AI88" s="3"/>
      <c r="AJ88" s="3"/>
      <c r="AK88" s="3"/>
      <c r="AL88" s="3"/>
      <c r="AO88" s="3" t="s">
        <v>474</v>
      </c>
      <c r="AP88" s="5">
        <f>Q88</f>
      </c>
    </row>
    <row r="89" ht="18" customHeight="1" spans="1:42" x14ac:dyDescent="0.25">
      <c r="A89" s="3" t="s">
        <v>38</v>
      </c>
      <c r="B89" s="3" t="s">
        <v>39</v>
      </c>
      <c r="C89" s="3" t="s">
        <v>40</v>
      </c>
      <c r="D89" s="3" t="s">
        <v>351</v>
      </c>
      <c r="E89" s="3" t="s">
        <v>53</v>
      </c>
      <c r="F89" s="3" t="s">
        <v>475</v>
      </c>
      <c r="G89" s="12" t="s">
        <v>61</v>
      </c>
      <c r="H89" s="3" t="s">
        <v>476</v>
      </c>
      <c r="I89" s="3" t="s">
        <v>195</v>
      </c>
      <c r="J89" s="3" t="s">
        <v>159</v>
      </c>
      <c r="K89" s="4" t="s">
        <v>148</v>
      </c>
      <c r="L89" s="4" t="s">
        <v>49</v>
      </c>
      <c r="M89" s="4" t="s">
        <v>82</v>
      </c>
      <c r="N89" s="12" t="s">
        <v>61</v>
      </c>
      <c r="O89" s="5">
        <v>127370</v>
      </c>
      <c r="P89" s="5">
        <v>0</v>
      </c>
      <c r="Q89" s="5">
        <v>200</v>
      </c>
      <c r="R89" s="6">
        <v>200</v>
      </c>
      <c r="S89" s="5">
        <f>IF(Q89-R89&lt;0,"0",Q89-R89)</f>
      </c>
      <c r="T89" s="5">
        <v>0</v>
      </c>
      <c r="U89" s="7">
        <v>46183.52777777778</v>
      </c>
      <c r="V89" s="7">
        <v>46183.54168981481</v>
      </c>
      <c r="W89" s="8">
        <f>V89-U89</f>
      </c>
      <c r="X89" s="9">
        <v>0.25</v>
      </c>
      <c r="Y89" s="8">
        <f>IF(W89-X89&lt;0,"00:00:00",W89-X89)</f>
      </c>
      <c r="Z89" s="10">
        <v>145</v>
      </c>
      <c r="AA89" s="10">
        <v>0</v>
      </c>
      <c r="AB89" s="11">
        <f>Y89*Z89*24</f>
      </c>
      <c r="AC89" s="11">
        <f>S89*AA89</f>
      </c>
      <c r="AD89" s="11">
        <f>T89*AA89</f>
      </c>
      <c r="AE89" s="10">
        <v>1380</v>
      </c>
      <c r="AF89" s="11">
        <v>0</v>
      </c>
      <c r="AG89" s="11">
        <f>SUM(AB89:AF89)</f>
      </c>
      <c r="AH89" s="3"/>
      <c r="AI89" s="3"/>
      <c r="AJ89" s="3"/>
      <c r="AK89" s="3"/>
      <c r="AL89" s="3"/>
      <c r="AO89" s="3" t="s">
        <v>161</v>
      </c>
      <c r="AP89" s="5">
        <f>Q89</f>
      </c>
    </row>
    <row r="90" ht="18" customHeight="1" spans="1:42" x14ac:dyDescent="0.25">
      <c r="A90" s="13" t="s">
        <v>38</v>
      </c>
      <c r="B90" s="13" t="s">
        <v>39</v>
      </c>
      <c r="C90" s="13" t="s">
        <v>40</v>
      </c>
      <c r="D90" s="13" t="s">
        <v>477</v>
      </c>
      <c r="E90" s="13" t="s">
        <v>84</v>
      </c>
      <c r="F90" s="13" t="s">
        <v>478</v>
      </c>
      <c r="G90" s="13" t="s">
        <v>61</v>
      </c>
      <c r="H90" s="13" t="s">
        <v>479</v>
      </c>
      <c r="I90" s="13" t="s">
        <v>316</v>
      </c>
      <c r="J90" s="13" t="s">
        <v>61</v>
      </c>
      <c r="K90" s="14" t="s">
        <v>480</v>
      </c>
      <c r="L90" s="14" t="s">
        <v>49</v>
      </c>
      <c r="M90" s="14" t="s">
        <v>481</v>
      </c>
      <c r="N90" s="13" t="s">
        <v>49</v>
      </c>
      <c r="O90" s="6">
        <v>40076</v>
      </c>
      <c r="P90" s="6">
        <v>0</v>
      </c>
      <c r="Q90" s="6">
        <f>P90-O90</f>
      </c>
      <c r="R90" s="6">
        <v>0</v>
      </c>
      <c r="S90" s="6">
        <f>IF(Q90-R90&lt;0,"0",Q90-R90)</f>
      </c>
      <c r="T90" s="6">
        <v>0</v>
      </c>
      <c r="U90" s="15">
        <v>46183.58333333333</v>
      </c>
      <c r="V90" s="15">
        <v>46183.60119212963</v>
      </c>
      <c r="W90" s="9">
        <f>V90-U90</f>
      </c>
      <c r="X90" s="9">
        <v>0</v>
      </c>
      <c r="Y90" s="9">
        <f>IF(W90-X90&lt;0,"00:00:00",W90-X90)</f>
      </c>
      <c r="Z90" s="10">
        <v>0</v>
      </c>
      <c r="AA90" s="10">
        <v>0</v>
      </c>
      <c r="AB90" s="10">
        <f>Y90*Z90*24</f>
      </c>
      <c r="AC90" s="10">
        <f>S90*AA90</f>
      </c>
      <c r="AD90" s="10">
        <f>T90*AA90</f>
      </c>
      <c r="AE90" s="10">
        <v>0</v>
      </c>
      <c r="AF90" s="10">
        <v>35.8</v>
      </c>
      <c r="AG90" s="10">
        <f>SUM(AB90:AF90)</f>
      </c>
      <c r="AH90" s="13"/>
      <c r="AI90" s="13"/>
      <c r="AJ90" s="13"/>
      <c r="AK90" s="13"/>
      <c r="AL90" s="13"/>
      <c r="AM90" s="16"/>
      <c r="AN90" s="16"/>
      <c r="AO90" s="13" t="s">
        <v>61</v>
      </c>
      <c r="AP90" s="6">
        <f>Q90</f>
      </c>
    </row>
    <row r="91" ht="18" customHeight="1" spans="1:42" x14ac:dyDescent="0.25">
      <c r="A91" s="13" t="s">
        <v>38</v>
      </c>
      <c r="B91" s="13" t="s">
        <v>39</v>
      </c>
      <c r="C91" s="13" t="s">
        <v>40</v>
      </c>
      <c r="D91" s="13" t="s">
        <v>482</v>
      </c>
      <c r="E91" s="13" t="s">
        <v>483</v>
      </c>
      <c r="F91" s="13" t="s">
        <v>484</v>
      </c>
      <c r="G91" s="13" t="s">
        <v>61</v>
      </c>
      <c r="H91" s="13" t="s">
        <v>485</v>
      </c>
      <c r="I91" s="13" t="s">
        <v>61</v>
      </c>
      <c r="J91" s="13" t="s">
        <v>61</v>
      </c>
      <c r="K91" s="14" t="s">
        <v>486</v>
      </c>
      <c r="L91" s="14" t="s">
        <v>168</v>
      </c>
      <c r="M91" s="14" t="s">
        <v>487</v>
      </c>
      <c r="N91" s="13" t="s">
        <v>49</v>
      </c>
      <c r="O91" s="6">
        <v>0</v>
      </c>
      <c r="P91" s="6">
        <v>0</v>
      </c>
      <c r="Q91" s="6">
        <f>P91-O91</f>
      </c>
      <c r="R91" s="6">
        <v>0</v>
      </c>
      <c r="S91" s="6">
        <f>IF(Q91-R91&lt;0,"0",Q91-R91)</f>
      </c>
      <c r="T91" s="6">
        <v>0</v>
      </c>
      <c r="U91" s="15">
        <v>46183.66666666667</v>
      </c>
      <c r="V91" s="15">
        <v>46183.66666666667</v>
      </c>
      <c r="W91" s="9">
        <f>V91-U91</f>
      </c>
      <c r="X91" s="9">
        <v>0</v>
      </c>
      <c r="Y91" s="9">
        <f>IF(W91-X91&lt;0,"00:00:00",W91-X91)</f>
      </c>
      <c r="Z91" s="10">
        <v>0</v>
      </c>
      <c r="AA91" s="10">
        <v>0</v>
      </c>
      <c r="AB91" s="10">
        <f>Y91*Z91*24</f>
      </c>
      <c r="AC91" s="10">
        <f>S91*AA91</f>
      </c>
      <c r="AD91" s="10">
        <f>T91*AA91</f>
      </c>
      <c r="AE91" s="10">
        <v>0</v>
      </c>
      <c r="AF91" s="10">
        <v>0</v>
      </c>
      <c r="AG91" s="10">
        <f>SUM(AB91:AF91)</f>
      </c>
      <c r="AH91" s="13"/>
      <c r="AI91" s="13"/>
      <c r="AJ91" s="13"/>
      <c r="AK91" s="13"/>
      <c r="AL91" s="13"/>
      <c r="AM91" s="16"/>
      <c r="AN91" s="16"/>
      <c r="AO91" s="13" t="s">
        <v>61</v>
      </c>
      <c r="AP91" s="6">
        <f>Q91</f>
      </c>
    </row>
    <row r="92" ht="18" customHeight="1" spans="1:42" x14ac:dyDescent="0.25">
      <c r="A92" s="13" t="s">
        <v>38</v>
      </c>
      <c r="B92" s="13" t="s">
        <v>39</v>
      </c>
      <c r="C92" s="13" t="s">
        <v>40</v>
      </c>
      <c r="D92" s="13" t="s">
        <v>482</v>
      </c>
      <c r="E92" s="13" t="s">
        <v>483</v>
      </c>
      <c r="F92" s="13" t="s">
        <v>488</v>
      </c>
      <c r="G92" s="13" t="s">
        <v>61</v>
      </c>
      <c r="H92" s="13" t="s">
        <v>489</v>
      </c>
      <c r="I92" s="13" t="s">
        <v>61</v>
      </c>
      <c r="J92" s="13" t="s">
        <v>61</v>
      </c>
      <c r="K92" s="14" t="s">
        <v>486</v>
      </c>
      <c r="L92" s="14" t="s">
        <v>168</v>
      </c>
      <c r="M92" s="14" t="s">
        <v>487</v>
      </c>
      <c r="N92" s="13" t="s">
        <v>49</v>
      </c>
      <c r="O92" s="6">
        <v>0</v>
      </c>
      <c r="P92" s="6">
        <v>0</v>
      </c>
      <c r="Q92" s="6">
        <f>P92-O92</f>
      </c>
      <c r="R92" s="6">
        <v>0</v>
      </c>
      <c r="S92" s="6">
        <f>IF(Q92-R92&lt;0,"0",Q92-R92)</f>
      </c>
      <c r="T92" s="6">
        <v>0</v>
      </c>
      <c r="U92" s="15">
        <v>46183.66666666667</v>
      </c>
      <c r="V92" s="15">
        <v>46183.66666666667</v>
      </c>
      <c r="W92" s="9">
        <f>V92-U92</f>
      </c>
      <c r="X92" s="9">
        <v>0</v>
      </c>
      <c r="Y92" s="9">
        <f>IF(W92-X92&lt;0,"00:00:00",W92-X92)</f>
      </c>
      <c r="Z92" s="10">
        <v>0</v>
      </c>
      <c r="AA92" s="10">
        <v>0</v>
      </c>
      <c r="AB92" s="10">
        <f>Y92*Z92*24</f>
      </c>
      <c r="AC92" s="10">
        <f>S92*AA92</f>
      </c>
      <c r="AD92" s="10">
        <f>T92*AA92</f>
      </c>
      <c r="AE92" s="10">
        <v>0</v>
      </c>
      <c r="AF92" s="10">
        <v>0</v>
      </c>
      <c r="AG92" s="10">
        <f>SUM(AB92:AF92)</f>
      </c>
      <c r="AH92" s="13"/>
      <c r="AI92" s="13"/>
      <c r="AJ92" s="13"/>
      <c r="AK92" s="13"/>
      <c r="AL92" s="13"/>
      <c r="AM92" s="16"/>
      <c r="AN92" s="16"/>
      <c r="AO92" s="13" t="s">
        <v>61</v>
      </c>
      <c r="AP92" s="6">
        <f>Q92</f>
      </c>
    </row>
    <row r="93" ht="18" customHeight="1" spans="1:42" x14ac:dyDescent="0.25">
      <c r="A93" s="13" t="s">
        <v>38</v>
      </c>
      <c r="B93" s="13" t="s">
        <v>39</v>
      </c>
      <c r="C93" s="13" t="s">
        <v>40</v>
      </c>
      <c r="D93" s="13" t="s">
        <v>482</v>
      </c>
      <c r="E93" s="13" t="s">
        <v>490</v>
      </c>
      <c r="F93" s="13" t="s">
        <v>491</v>
      </c>
      <c r="G93" s="13" t="s">
        <v>61</v>
      </c>
      <c r="H93" s="13" t="s">
        <v>492</v>
      </c>
      <c r="I93" s="13" t="s">
        <v>61</v>
      </c>
      <c r="J93" s="13" t="s">
        <v>61</v>
      </c>
      <c r="K93" s="14" t="s">
        <v>486</v>
      </c>
      <c r="L93" s="14" t="s">
        <v>168</v>
      </c>
      <c r="M93" s="14" t="s">
        <v>493</v>
      </c>
      <c r="N93" s="13" t="s">
        <v>49</v>
      </c>
      <c r="O93" s="6">
        <v>0</v>
      </c>
      <c r="P93" s="6">
        <v>0</v>
      </c>
      <c r="Q93" s="6">
        <f>P93-O93</f>
      </c>
      <c r="R93" s="6">
        <v>0</v>
      </c>
      <c r="S93" s="6">
        <f>IF(Q93-R93&lt;0,"0",Q93-R93)</f>
      </c>
      <c r="T93" s="6">
        <v>0</v>
      </c>
      <c r="U93" s="15">
        <v>46183.66666666667</v>
      </c>
      <c r="V93" s="15">
        <v>46183.66666666667</v>
      </c>
      <c r="W93" s="9">
        <f>V93-U93</f>
      </c>
      <c r="X93" s="9">
        <v>0</v>
      </c>
      <c r="Y93" s="9">
        <f>IF(W93-X93&lt;0,"00:00:00",W93-X93)</f>
      </c>
      <c r="Z93" s="10">
        <v>0</v>
      </c>
      <c r="AA93" s="10">
        <v>0</v>
      </c>
      <c r="AB93" s="10">
        <f>Y93*Z93*24</f>
      </c>
      <c r="AC93" s="10">
        <f>S93*AA93</f>
      </c>
      <c r="AD93" s="10">
        <f>T93*AA93</f>
      </c>
      <c r="AE93" s="10">
        <v>0</v>
      </c>
      <c r="AF93" s="10">
        <v>0</v>
      </c>
      <c r="AG93" s="10">
        <f>SUM(AB93:AF93)</f>
      </c>
      <c r="AH93" s="13"/>
      <c r="AI93" s="13"/>
      <c r="AJ93" s="13"/>
      <c r="AK93" s="13"/>
      <c r="AL93" s="13"/>
      <c r="AM93" s="16"/>
      <c r="AN93" s="16"/>
      <c r="AO93" s="13" t="s">
        <v>61</v>
      </c>
      <c r="AP93" s="6">
        <f>Q93</f>
      </c>
    </row>
    <row r="94" ht="18" customHeight="1" spans="1:42" x14ac:dyDescent="0.25">
      <c r="A94" s="13" t="s">
        <v>38</v>
      </c>
      <c r="B94" s="13" t="s">
        <v>39</v>
      </c>
      <c r="C94" s="13" t="s">
        <v>40</v>
      </c>
      <c r="D94" s="13" t="s">
        <v>482</v>
      </c>
      <c r="E94" s="13" t="s">
        <v>490</v>
      </c>
      <c r="F94" s="13" t="s">
        <v>494</v>
      </c>
      <c r="G94" s="13" t="s">
        <v>61</v>
      </c>
      <c r="H94" s="13" t="s">
        <v>495</v>
      </c>
      <c r="I94" s="13" t="s">
        <v>345</v>
      </c>
      <c r="J94" s="13" t="s">
        <v>61</v>
      </c>
      <c r="K94" s="14" t="s">
        <v>486</v>
      </c>
      <c r="L94" s="14" t="s">
        <v>168</v>
      </c>
      <c r="M94" s="14" t="s">
        <v>493</v>
      </c>
      <c r="N94" s="13" t="s">
        <v>49</v>
      </c>
      <c r="O94" s="6">
        <v>0</v>
      </c>
      <c r="P94" s="6">
        <v>0</v>
      </c>
      <c r="Q94" s="6">
        <f>P94-O94</f>
      </c>
      <c r="R94" s="6">
        <v>0</v>
      </c>
      <c r="S94" s="6">
        <f>IF(Q94-R94&lt;0,"0",Q94-R94)</f>
      </c>
      <c r="T94" s="6">
        <v>0</v>
      </c>
      <c r="U94" s="15">
        <v>46183.66666666667</v>
      </c>
      <c r="V94" s="15">
        <v>46183.66666666667</v>
      </c>
      <c r="W94" s="9">
        <f>V94-U94</f>
      </c>
      <c r="X94" s="9">
        <v>0</v>
      </c>
      <c r="Y94" s="9">
        <f>IF(W94-X94&lt;0,"00:00:00",W94-X94)</f>
      </c>
      <c r="Z94" s="10">
        <v>0</v>
      </c>
      <c r="AA94" s="10">
        <v>0</v>
      </c>
      <c r="AB94" s="10">
        <f>Y94*Z94*24</f>
      </c>
      <c r="AC94" s="10">
        <f>S94*AA94</f>
      </c>
      <c r="AD94" s="10">
        <f>T94*AA94</f>
      </c>
      <c r="AE94" s="10">
        <v>0</v>
      </c>
      <c r="AF94" s="10">
        <v>0</v>
      </c>
      <c r="AG94" s="10">
        <f>SUM(AB94:AF94)</f>
      </c>
      <c r="AH94" s="13"/>
      <c r="AI94" s="13"/>
      <c r="AJ94" s="13"/>
      <c r="AK94" s="13"/>
      <c r="AL94" s="13"/>
      <c r="AM94" s="16"/>
      <c r="AN94" s="16"/>
      <c r="AO94" s="13" t="s">
        <v>61</v>
      </c>
      <c r="AP94" s="6">
        <f>Q94</f>
      </c>
    </row>
    <row r="95" ht="18" customHeight="1" spans="1:42" x14ac:dyDescent="0.25">
      <c r="A95" s="3" t="s">
        <v>38</v>
      </c>
      <c r="B95" s="3" t="s">
        <v>39</v>
      </c>
      <c r="C95" s="3" t="s">
        <v>40</v>
      </c>
      <c r="D95" s="3" t="s">
        <v>482</v>
      </c>
      <c r="E95" s="3" t="s">
        <v>496</v>
      </c>
      <c r="F95" s="3" t="s">
        <v>497</v>
      </c>
      <c r="G95" s="12" t="s">
        <v>61</v>
      </c>
      <c r="H95" s="3" t="s">
        <v>498</v>
      </c>
      <c r="I95" s="12" t="s">
        <v>61</v>
      </c>
      <c r="J95" s="12" t="s">
        <v>61</v>
      </c>
      <c r="K95" s="4" t="s">
        <v>499</v>
      </c>
      <c r="L95" s="4" t="s">
        <v>51</v>
      </c>
      <c r="M95" s="4" t="s">
        <v>60</v>
      </c>
      <c r="N95" s="12" t="s">
        <v>61</v>
      </c>
      <c r="O95" s="5">
        <v>0</v>
      </c>
      <c r="P95" s="5">
        <v>0</v>
      </c>
      <c r="Q95" s="5">
        <v>300</v>
      </c>
      <c r="R95" s="6">
        <v>300</v>
      </c>
      <c r="S95" s="5">
        <f>IF(Q95-R95&lt;0,"0",Q95-R95)</f>
      </c>
      <c r="T95" s="5">
        <v>0</v>
      </c>
      <c r="U95" s="7">
        <v>46183.70833333333</v>
      </c>
      <c r="V95" s="7">
        <v>46183.70833333333</v>
      </c>
      <c r="W95" s="8">
        <f>V95-U95</f>
      </c>
      <c r="X95" s="9">
        <v>0.2916666666666667</v>
      </c>
      <c r="Y95" s="8">
        <f>IF(W95-X95&lt;0,"00:00:00",W95-X95)</f>
      </c>
      <c r="Z95" s="10">
        <v>145</v>
      </c>
      <c r="AA95" s="10">
        <v>0</v>
      </c>
      <c r="AB95" s="11">
        <f>Y95*Z95*24</f>
      </c>
      <c r="AC95" s="11">
        <f>S95*AA95</f>
      </c>
      <c r="AD95" s="11">
        <f>T95*AA95</f>
      </c>
      <c r="AE95" s="10">
        <v>2070</v>
      </c>
      <c r="AF95" s="11">
        <v>0</v>
      </c>
      <c r="AG95" s="11">
        <f>SUM(AB95:AF95)</f>
      </c>
      <c r="AH95" s="3"/>
      <c r="AI95" s="3"/>
      <c r="AJ95" s="3"/>
      <c r="AK95" s="3"/>
      <c r="AL95" s="3"/>
      <c r="AO95" s="3" t="s">
        <v>239</v>
      </c>
      <c r="AP95" s="5">
        <f>Q95</f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2026-06-10T18:06:52Z</dcterms:created>
  <dcterms:modified xsi:type="dcterms:W3CDTF">2026-06-10T18:06:52Z</dcterms:modified>
</cp:coreProperties>
</file>