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<sst xmlns="http://schemas.openxmlformats.org/spreadsheetml/2006/main" count="1788" uniqueCount="718">
  <si>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</si>
  <si>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</si>
  <si>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</si>
  <si>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</si>
  <si>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</si>
  <si>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</si>
  <si>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</si>
  <si>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</si>
  <si>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</si>
  <si>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</si>
  <si>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</si>
  <si>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</si>
  <si>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</si>
  <si>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</si>
  <si>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</si>
  <si>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</si>
  <si>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</si>
  <si>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</si>
  <si>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</si>
  <si>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</si>
  <si>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</si>
  <si>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</si>
  <si>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</si>
  <si>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</si>
  <si>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</si>
  <si>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</si>
  <si>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</si>
  <si>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</si>
  <si>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</si>
  <si>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</si>
  <si>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</si>
  <si>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</si>
  <si>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</si>
  <si>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</si>
  <si>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</si>
  <si>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</si>
  <si>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</si>
  <si>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TM SEG</t>
  </si>
  <si>
    <t>18/05/2026 à 31/05/2026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</si>
  <si>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</si>
  <si>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</si>
  <si>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</si>
  <si>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</si>
  <si>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</si>
  <si>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</si>
  <si>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</si>
  <si>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</si>
  <si>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</si>
  <si>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</si>
  <si>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</si>
  <si>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</si>
  <si>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</si>
  <si>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</si>
  <si>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</si>
  <si>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</si>
  <si>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</si>
  <si>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</si>
  <si>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</si>
  <si>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</si>
  <si>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</si>
  <si>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</si>
  <si>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</si>
  <si>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</si>
  <si>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</si>
  <si>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</si>
  <si>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</si>
  <si>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</si>
  <si>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</si>
  <si>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</si>
  <si>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</si>
  <si>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</si>
  <si>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</si>
  <si>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</si>
  <si>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</si>
  <si>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</si>
  <si>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</si>
  <si>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</si>
  <si>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</si>
  <si>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</si>
  <si>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</si>
  <si>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</si>
  <si>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</si>
  <si>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</si>
  <si>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</si>
  <si>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</si>
  <si>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</si>
  <si>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</si>
  <si>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</si>
  <si>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</si>
  <si>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</si>
  <si>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</si>
  <si>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</si>
  <si>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</si>
  <si>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</si>
  <si>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</si>
  <si>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</si>
  <si>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</si>
  <si>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</si>
  <si>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</si>
  <si>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</si>
  <si>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</si>
  <si>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</si>
  <si>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</si>
  <si>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</si>
  <si>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</si>
  <si>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</si>
  <si>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</si>
  <si>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</si>
  <si>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</si>
  <si>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</si>
  <si>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</si>
  <si>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</si>
  <si>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</si>
  <si>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</si>
  <si>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</si>
  <si>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</si>
  <si>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</si>
  <si>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</si>
  <si>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</si>
  <si>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</si>
  <si>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</si>
  <si>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</si>
  <si>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</si>
  <si>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</si>
  <si>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</si>
  <si>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</si>
  <si>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</si>
  <si>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</si>
  <si>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</si>
  <si>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</si>
  <si>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</si>
  <si>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</si>
  <si>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</si>
  <si>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</si>
  <si>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</si>
  <si>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</si>
  <si>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</si>
  <si>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</si>
  <si>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</si>
  <si>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</si>
  <si>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</si>
  <si>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</si>
  <si>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</si>
  <si>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</si>
  <si>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</si>
  <si>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</si>
  <si>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</si>
  <si>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</si>
  <si>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</si>
  <si>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</si>
  <si>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</si>
  <si>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</si>
  <si>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</si>
  <si>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</si>
  <si>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</si>
  <si>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</si>
  <si>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</si>
  <si>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</si>
  <si>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</si>
  <si>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</si>
  <si>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</si>
  <si>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</si>
  <si>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</si>
  <si>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</si>
  <si>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</si>
  <si>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</si>
  <si>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</si>
  <si>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</si>
  <si>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</si>
  <si>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</si>
  <si>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</si>
  <si>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</si>
  <si>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</si>
  <si>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</si>
  <si>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</si>
  <si>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</si>
  <si>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</si>
  <si>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</si>
  <si>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</si>
  <si>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</si>
  <si>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</si>
  <si>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</si>
  <si>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</si>
  <si>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</si>
  <si>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</si>
  <si>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</si>
  <si>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</si>
  <si>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</si>
  <si>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</si>
  <si>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</si>
  <si>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</si>
  <si>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</si>
  <si>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</si>
  <si>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</si>
  <si>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</si>
  <si>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</si>
  <si>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</si>
  <si>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</si>
  <si>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</si>
  <si>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</si>
  <si>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</si>
  <si>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</si>
  <si>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</si>
  <si>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</si>
  <si>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</si>
  <si>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</si>
  <si>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</si>
  <si>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</si>
  <si>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</si>
  <si>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</si>
  <si>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</si>
  <si>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</si>
  <si>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179080</t>
  </si>
  <si>
    <t>1555393</t>
  </si>
  <si>
    <t>5068</t>
  </si>
  <si>
    <t>TJC1H27</t>
  </si>
  <si>
    <t>PXA5I78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</si>
  <si>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</si>
  <si>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</si>
  <si>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</si>
  <si>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</si>
  <si>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</si>
  <si>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</si>
  <si>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</si>
  <si>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</si>
  <si>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</si>
  <si>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</si>
  <si>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</si>
  <si>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</si>
  <si>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</si>
  <si>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</si>
  <si>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</si>
  <si>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</si>
  <si>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</si>
  <si>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</si>
  <si>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</si>
  <si>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</si>
  <si>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</si>
  <si>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</si>
  <si>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</si>
  <si>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</si>
  <si>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</si>
  <si>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</si>
  <si>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</si>
  <si>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</si>
  <si>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</si>
  <si>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</si>
  <si>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</si>
  <si>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</si>
  <si>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</si>
  <si>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</si>
  <si>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</si>
  <si>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</si>
  <si>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</si>
  <si>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</si>
  <si>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</si>
  <si>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</si>
  <si>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</si>
  <si>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</si>
  <si>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</si>
  <si>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</si>
  <si>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</si>
  <si>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</si>
  <si>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</si>
  <si>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</si>
  <si>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</si>
  <si>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</si>
  <si>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</si>
  <si>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</si>
  <si>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</si>
  <si>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</si>
  <si>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</si>
  <si>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</si>
  <si>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</si>
  <si>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</si>
  <si>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</si>
  <si>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</si>
  <si>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</si>
  <si>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</si>
  <si>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</si>
  <si>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</si>
  <si>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</si>
  <si>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</si>
  <si>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</si>
  <si>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</si>
  <si>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</si>
  <si>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</si>
  <si>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</si>
  <si>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</si>
  <si>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</si>
  <si>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</si>
  <si>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</si>
  <si>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</si>
  <si>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</si>
  <si>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</si>
  <si>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</si>
  <si>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</si>
  <si>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</si>
  <si>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</si>
  <si>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</si>
  <si>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</si>
  <si>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</si>
  <si>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</si>
  <si>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</si>
  <si>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</si>
  <si>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</si>
  <si>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</si>
  <si>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</si>
  <si>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</si>
  <si>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</si>
  <si>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</si>
  <si>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</si>
  <si>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</si>
  <si>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</si>
  <si>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</si>
  <si>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</si>
  <si>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</si>
  <si>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</si>
  <si>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</si>
  <si>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</si>
  <si>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</si>
  <si>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</si>
  <si>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</si>
  <si>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</si>
  <si>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</si>
  <si>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</si>
  <si>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</si>
  <si>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</si>
  <si>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</si>
  <si>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</si>
  <si>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</si>
  <si>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</si>
  <si>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</si>
  <si>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</si>
  <si>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</si>
  <si>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</si>
  <si>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</si>
  <si>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</si>
  <si>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</si>
  <si>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</si>
  <si>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</si>
  <si>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</si>
  <si>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</si>
  <si>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</si>
  <si>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</si>
  <si>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</si>
  <si>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</si>
  <si>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</si>
  <si>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</si>
  <si>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</si>
  <si>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</si>
  <si>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</si>
  <si>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</si>
  <si>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</si>
  <si>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</si>
  <si>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</si>
  <si>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</si>
  <si>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</si>
  <si>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</si>
  <si>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</si>
  <si>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</si>
  <si>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</si>
  <si>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</si>
  <si>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</si>
  <si>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</si>
  <si>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</si>
  <si>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</si>
  <si>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</si>
  <si>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</si>
  <si>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</si>
  <si>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</si>
  <si>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</si>
  <si>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</si>
  <si>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</si>
  <si>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</si>
  <si>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</si>
  <si>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</si>
  <si>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</si>
  <si>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BARUERI-BRASILIA</t>
  </si>
  <si>
    <t>179256</t>
  </si>
  <si>
    <t>1558026</t>
  </si>
  <si>
    <t>5150</t>
  </si>
  <si>
    <t>AXJ7C64</t>
  </si>
  <si>
    <t>BRASÍLIA - PLANO PILOTO, BRASÍLIA - DF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</si>
  <si>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</si>
  <si>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</si>
  <si>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</si>
  <si>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</si>
  <si>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</si>
  <si>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</si>
  <si>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</si>
  <si>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</si>
  <si>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</si>
  <si>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</si>
  <si>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</si>
  <si>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</si>
  <si>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</si>
  <si>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</si>
  <si>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</si>
  <si>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</si>
  <si>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</si>
  <si>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</si>
  <si>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</si>
  <si>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</si>
  <si>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</si>
  <si>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</si>
  <si>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</si>
  <si>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</si>
  <si>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</si>
  <si>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</si>
  <si>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</si>
  <si>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</si>
  <si>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</si>
  <si>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</si>
  <si>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</si>
  <si>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</si>
  <si>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</si>
  <si>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</si>
  <si>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</si>
  <si>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</si>
  <si>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</si>
  <si>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</si>
  <si>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</si>
  <si>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</si>
  <si>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</si>
  <si>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</si>
  <si>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</si>
  <si>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</si>
  <si>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</si>
  <si>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</si>
  <si>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</si>
  <si>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</si>
  <si>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</si>
  <si>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</si>
  <si>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</si>
  <si>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</si>
  <si>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</si>
  <si>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</si>
  <si>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</si>
  <si>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</si>
  <si>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</si>
  <si>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</si>
  <si>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</si>
  <si>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</si>
  <si>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</si>
  <si>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</si>
  <si>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</si>
  <si>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</si>
  <si>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</si>
  <si>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</si>
  <si>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</si>
  <si>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</si>
  <si>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</si>
  <si>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</si>
  <si>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</si>
  <si>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</si>
  <si>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</si>
  <si>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</si>
  <si>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</si>
  <si>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</si>
  <si>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</si>
  <si>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</si>
  <si>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</si>
  <si>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</si>
  <si>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</si>
  <si>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</si>
  <si>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</si>
  <si>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</si>
  <si>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</si>
  <si>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</si>
  <si>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</si>
  <si>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</si>
  <si>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</si>
  <si>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</si>
  <si>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</si>
  <si>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</si>
  <si>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</si>
  <si>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</si>
  <si>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</si>
  <si>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</si>
  <si>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</si>
  <si>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</si>
  <si>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</si>
  <si>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</si>
  <si>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179372</t>
  </si>
  <si>
    <t>1560418</t>
  </si>
  <si>
    <t>5186</t>
  </si>
  <si>
    <t>IYK5768</t>
  </si>
  <si>
    <t>EMF5785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</si>
  <si>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</si>
  <si>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</si>
  <si>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</si>
  <si>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</si>
  <si>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</si>
  <si>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</si>
  <si>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</si>
  <si>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</si>
  <si>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</si>
  <si>
    <t>179397</t>
  </si>
  <si>
    <t>1560701,1560701</t>
  </si>
  <si>
    <t>5201</t>
  </si>
  <si>
    <t>UES3H48</t>
  </si>
  <si>
    <t>RAIO RS 200 KM</t>
  </si>
  <si>
    <t>179398</t>
  </si>
  <si>
    <t>1560658,1560658</t>
  </si>
  <si>
    <t>5202</t>
  </si>
  <si>
    <t>IYU7F17</t>
  </si>
  <si>
    <t>179399</t>
  </si>
  <si>
    <t>1560762</t>
  </si>
  <si>
    <t>5203</t>
  </si>
  <si>
    <t>179400</t>
  </si>
  <si>
    <t>1560766,1560766</t>
  </si>
  <si>
    <t>5206</t>
  </si>
  <si>
    <t>QJG3F51</t>
  </si>
  <si>
    <t>179401</t>
  </si>
  <si>
    <t>5207</t>
  </si>
  <si>
    <t>179427</t>
  </si>
  <si>
    <t>1561473</t>
  </si>
  <si>
    <t>5214</t>
  </si>
  <si>
    <t>DBM8E06</t>
  </si>
  <si>
    <t>ROD. HÉLIO SMIDT, S/Nº - CUMBICA, GUARULHOS - SP, 07140</t>
  </si>
  <si>
    <t>JUNDIAI-CAJAMAR</t>
  </si>
  <si>
    <t>179438</t>
  </si>
  <si>
    <t>1562578</t>
  </si>
  <si>
    <t>5223</t>
  </si>
  <si>
    <t>TXW5H39</t>
  </si>
  <si>
    <t>FTP3C53</t>
  </si>
  <si>
    <t>ROD. VICE PREF. HERMENEGILDO TONOLI, 1500 - AGLOMERAÇÃO URBANA DE JUNDIAÍ, JUNDIAÍ - SP, 13213-086</t>
  </si>
  <si>
    <t>CAJAMAR, SP</t>
  </si>
  <si>
    <t>179440</t>
  </si>
  <si>
    <t>1562546</t>
  </si>
  <si>
    <t>5224</t>
  </si>
  <si>
    <t>TXW5H44</t>
  </si>
  <si>
    <t>ANM7240</t>
  </si>
  <si>
    <t>SP-354, 1401 - VILA UNIAO, CAJAMAR - SP, 07750-000</t>
  </si>
  <si>
    <t>179442</t>
  </si>
  <si>
    <t>5225</t>
  </si>
  <si>
    <t>TXW5H55</t>
  </si>
  <si>
    <t>RAIO SC 200 KM</t>
  </si>
  <si>
    <t>179443</t>
  </si>
  <si>
    <t>1561425</t>
  </si>
  <si>
    <t>5222</t>
  </si>
  <si>
    <t>179446</t>
  </si>
  <si>
    <t>1562637</t>
  </si>
  <si>
    <t>5227</t>
  </si>
  <si>
    <t>QUN7H11</t>
  </si>
  <si>
    <t>R. PEDROSO ALVARENGA, 58 - CHÁCARA ITAIM, SÃO PAULO - SP, 04531-000</t>
  </si>
  <si>
    <t>179450</t>
  </si>
  <si>
    <t>1562043</t>
  </si>
  <si>
    <t>5234</t>
  </si>
  <si>
    <t>GIV2J67</t>
  </si>
  <si>
    <t>ROD. ANCHIETA, 820 - CHICO DE PAULA, SANTOS - SP, 11095-000</t>
  </si>
  <si>
    <t>179456</t>
  </si>
  <si>
    <t>5233</t>
  </si>
  <si>
    <t>EHH9B54</t>
  </si>
  <si>
    <t>179470</t>
  </si>
  <si>
    <t>1561882,1561882</t>
  </si>
  <si>
    <t>5236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</si>
  <si>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</si>
  <si>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</si>
  <si>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</si>
  <si>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</si>
  <si>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179481</t>
  </si>
  <si>
    <t>1561245</t>
  </si>
  <si>
    <t>5239</t>
  </si>
  <si>
    <t>GFD0G31</t>
  </si>
  <si>
    <t>GUARULHOS-SÃO JOSE DOS PINHAIS</t>
  </si>
  <si>
    <t>179482</t>
  </si>
  <si>
    <t>1560840</t>
  </si>
  <si>
    <t>5240</t>
  </si>
  <si>
    <t>BHY5F12</t>
  </si>
  <si>
    <t>FYQ2F92</t>
  </si>
  <si>
    <t>R. FRANCISCO MUNÕZ MADRID, 625 - ACADEMIA, SÃO JOSÉ DOS PINHAIS - PR, 83070-010</t>
  </si>
  <si>
    <t>179496</t>
  </si>
  <si>
    <t>1563577,1563577</t>
  </si>
  <si>
    <t>5243</t>
  </si>
  <si>
    <t>EGJ2E56</t>
  </si>
  <si>
    <t>ROD. HÉLIO SMIDT, S/Nº - AEROPORTO, GUARULHOS - SP, 07190-100</t>
  </si>
  <si>
    <t>179520</t>
  </si>
  <si>
    <t>1564345</t>
  </si>
  <si>
    <t>5252</t>
  </si>
  <si>
    <t>TXW5H41</t>
  </si>
  <si>
    <t>DPC5D84</t>
  </si>
  <si>
    <t>JARDIM PRINCESA D'OESTE, CAMPINAS - SP, 13055, BRASIL</t>
  </si>
  <si>
    <t>GUARULHOS-CONTAGEM</t>
  </si>
  <si>
    <t>179523</t>
  </si>
  <si>
    <t>1563004</t>
  </si>
  <si>
    <t>5253</t>
  </si>
  <si>
    <t>TJU2G26</t>
  </si>
  <si>
    <t>AV. ÁPIO CARDOSO, 577 - CINCAO, CONTAGEM - MG, 32371-615</t>
  </si>
  <si>
    <t>GUARULHOS-BRASILIA</t>
  </si>
  <si>
    <t>179527</t>
  </si>
  <si>
    <t>1563148</t>
  </si>
  <si>
    <t>5254</t>
  </si>
  <si>
    <t>FHV9B91</t>
  </si>
  <si>
    <t>BR-040, KM 5 - SANTA MARIA, BRASÍLIA - DF, 72549-650</t>
  </si>
  <si>
    <t>179529</t>
  </si>
  <si>
    <t>1564241</t>
  </si>
  <si>
    <t>5257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</si>
  <si>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</si>
  <si>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</si>
  <si>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</si>
  <si>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179561</t>
  </si>
  <si>
    <t>1562915,1562915</t>
  </si>
  <si>
    <t>5266</t>
  </si>
  <si>
    <t>179564</t>
  </si>
  <si>
    <t>1563692</t>
  </si>
  <si>
    <t>5268</t>
  </si>
  <si>
    <t>EKH7G80</t>
  </si>
  <si>
    <t>R. PATAXÓS, 1412 - PATAXOS, EMBU DAS ARTES - SP, 06833-073</t>
  </si>
  <si>
    <t>179567</t>
  </si>
  <si>
    <t>1563764</t>
  </si>
  <si>
    <t>5269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</si>
  <si>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</si>
  <si>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</si>
  <si>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</si>
  <si>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</si>
  <si>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179596</t>
  </si>
  <si>
    <t>1564470,1564470</t>
  </si>
  <si>
    <t>5283</t>
  </si>
  <si>
    <t>SEG5H54</t>
  </si>
  <si>
    <t>BR-101 - JARDIM JORDÃO, JABOATÃO DOS GUARARAPES - PE</t>
  </si>
  <si>
    <t>RAIO ES 200 KM</t>
  </si>
  <si>
    <t>179605</t>
  </si>
  <si>
    <t>1565919</t>
  </si>
  <si>
    <t>5286</t>
  </si>
  <si>
    <t>SBP7F90</t>
  </si>
  <si>
    <t>MRR5J55</t>
  </si>
  <si>
    <t>R. PORTO ALEGRE, 307 - ALTEROSAS, SERRA - ES, 29167-036</t>
  </si>
  <si>
    <t>179623</t>
  </si>
  <si>
    <t>1565124</t>
  </si>
  <si>
    <t>5290</t>
  </si>
  <si>
    <t>BQU9508</t>
  </si>
  <si>
    <t>ROD. FERNÃO DIAS - EXTREMA, MG, 37640-000</t>
  </si>
  <si>
    <t>R. PANAMBI, 191 - CIDADE INDUSTRIAL SATÉLITE DE SÃO PAULO, GUARULHOS - SP, 07224-130</t>
  </si>
  <si>
    <t>179624</t>
  </si>
  <si>
    <t>5291</t>
  </si>
  <si>
    <t>179627</t>
  </si>
  <si>
    <t>1564319</t>
  </si>
  <si>
    <t>5292</t>
  </si>
  <si>
    <t>EPU7555</t>
  </si>
  <si>
    <t>ESTR. MUN. LUIZ LOPES NETO - EXTREMA, MG, 37640-000</t>
  </si>
  <si>
    <t>BARUERI-EXTREMA</t>
  </si>
  <si>
    <t>179628</t>
  </si>
  <si>
    <t>1565736,1565736</t>
  </si>
  <si>
    <t>5299</t>
  </si>
  <si>
    <t>UDE1E99</t>
  </si>
  <si>
    <t>UDC4I21</t>
  </si>
  <si>
    <t>AV. TAMBORE, 1440 - TAMBORÉ, BARUERI - SP, 06460-000</t>
  </si>
  <si>
    <t>ROD. FERNÃO DIAS - EXTREMA, MG</t>
  </si>
  <si>
    <t>179629</t>
  </si>
  <si>
    <t>5300</t>
  </si>
  <si>
    <t>179632</t>
  </si>
  <si>
    <t>1565744</t>
  </si>
  <si>
    <t>5298</t>
  </si>
  <si>
    <t>QSZ5J87</t>
  </si>
  <si>
    <t>TKY0D27</t>
  </si>
  <si>
    <t>179646</t>
  </si>
  <si>
    <t>1564495</t>
  </si>
  <si>
    <t>5301</t>
  </si>
  <si>
    <t>179712</t>
  </si>
  <si>
    <t>1566432,1566432,1566432</t>
  </si>
  <si>
    <t>5313</t>
  </si>
  <si>
    <t>TPI5I74</t>
  </si>
  <si>
    <t>QIL9B88</t>
  </si>
  <si>
    <t>R. VER. GERMANO L VIEIRA - ITAIPAVA, ITAJAÍ - SC</t>
  </si>
  <si>
    <t>ROD. HENRIQUE HERWIG, TIJUCAS DO SUL - PR</t>
  </si>
  <si>
    <t>179741</t>
  </si>
  <si>
    <t>1566167,1566167</t>
  </si>
  <si>
    <t>5317</t>
  </si>
  <si>
    <t>RTC6J09</t>
  </si>
  <si>
    <t>GUARULHOS-HIDROLANDIA</t>
  </si>
  <si>
    <t>179746</t>
  </si>
  <si>
    <t>1566764,1566764,1566764</t>
  </si>
  <si>
    <t>5319</t>
  </si>
  <si>
    <t>FTX4F85</t>
  </si>
  <si>
    <t>COLOMBO, PR</t>
  </si>
  <si>
    <t>179762</t>
  </si>
  <si>
    <t>1566958</t>
  </si>
  <si>
    <t>5327</t>
  </si>
  <si>
    <t>IVK5768</t>
  </si>
  <si>
    <t>IPR6955</t>
  </si>
  <si>
    <t>179791</t>
  </si>
  <si>
    <t>1567612</t>
  </si>
  <si>
    <t>5331</t>
  </si>
  <si>
    <t>BQU9E47</t>
  </si>
  <si>
    <t>179801</t>
  </si>
  <si>
    <t>1567636</t>
  </si>
  <si>
    <t>5334</t>
  </si>
  <si>
    <t>179802</t>
  </si>
  <si>
    <t>5335</t>
  </si>
  <si>
    <t>179857</t>
  </si>
  <si>
    <t>1568177,1568177</t>
  </si>
  <si>
    <t>5346</t>
  </si>
  <si>
    <t>UDN9C89</t>
  </si>
  <si>
    <t>QRH1G74</t>
  </si>
  <si>
    <t>179891</t>
  </si>
  <si>
    <t>1568259</t>
  </si>
  <si>
    <t>5347</t>
  </si>
  <si>
    <t>GHJ3H54</t>
  </si>
  <si>
    <t>179903</t>
  </si>
  <si>
    <t>1568842</t>
  </si>
  <si>
    <t>5362</t>
  </si>
  <si>
    <t>FCH9H26</t>
  </si>
  <si>
    <t>DTC1592</t>
  </si>
  <si>
    <t>ITAPEVI-LONDRINA</t>
  </si>
  <si>
    <t>179904</t>
  </si>
  <si>
    <t>1568955,1568955</t>
  </si>
  <si>
    <t>5363</t>
  </si>
  <si>
    <t>ESP6E44</t>
  </si>
  <si>
    <t>179905</t>
  </si>
  <si>
    <t>1569054,1569054</t>
  </si>
  <si>
    <t>5364</t>
  </si>
  <si>
    <t>EWU8G13</t>
  </si>
  <si>
    <t>179906</t>
  </si>
  <si>
    <t>1569010,1569010</t>
  </si>
  <si>
    <t>5365</t>
  </si>
  <si>
    <t>FLT2G14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</si>
</sst>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</cols>
  <sheetData>
    <row r="1" ht="30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</row>
    <row r="2" ht="18" customHeight="1" spans="1:38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4" t="s">
        <v>46</v>
      </c>
      <c r="K2" s="5" t="s">
        <v>47</v>
      </c>
      <c r="L2" s="5" t="s">
        <v>48</v>
      </c>
      <c r="M2" s="5" t="s">
        <v>47</v>
      </c>
      <c r="N2" s="3" t="s">
        <v>48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46161.3125</v>
      </c>
      <c r="V2" s="8">
        <v>46161.4375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7.35</v>
      </c>
      <c r="AB2" s="12">
        <f>Y2*Z2*24</f>
      </c>
      <c r="AC2" s="12">
        <f>S2*AA2</f>
      </c>
      <c r="AD2" s="12">
        <f>T2*AA2</f>
      </c>
      <c r="AE2" s="11">
        <v>735</v>
      </c>
      <c r="AF2" s="12">
        <v>0</v>
      </c>
      <c r="AG2" s="12">
        <f>SUM(AB2:AF2)</f>
      </c>
      <c r="AH2" s="3"/>
      <c r="AI2" s="3"/>
      <c r="AJ2" s="3"/>
      <c r="AK2" s="3"/>
      <c r="AL2" s="3"/>
    </row>
    <row r="3" ht="18" customHeight="1" spans="1:38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5" t="s">
        <v>55</v>
      </c>
      <c r="L3" s="5" t="s">
        <v>56</v>
      </c>
      <c r="M3" s="5" t="s">
        <v>55</v>
      </c>
      <c r="N3" s="3" t="s">
        <v>56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46161.29166666667</v>
      </c>
      <c r="V3" s="8">
        <v>46161.57916666666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6.9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</row>
    <row r="4" ht="18" customHeight="1" spans="1:38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5" t="s">
        <v>63</v>
      </c>
      <c r="L4" s="5" t="s">
        <v>64</v>
      </c>
      <c r="M4" s="5" t="s">
        <v>65</v>
      </c>
      <c r="N4" s="4" t="s">
        <v>46</v>
      </c>
      <c r="O4" s="6">
        <v>14337</v>
      </c>
      <c r="P4" s="6">
        <v>14390</v>
      </c>
      <c r="Q4" s="6">
        <f>P4-O4</f>
      </c>
      <c r="R4" s="7">
        <v>100</v>
      </c>
      <c r="S4" s="6">
        <f>IF(Q4-R4&lt;0,"0",Q4-R4)</f>
      </c>
      <c r="T4" s="6">
        <v>0</v>
      </c>
      <c r="U4" s="8">
        <v>46160.91666666667</v>
      </c>
      <c r="V4" s="8">
        <v>46161.04166666667</v>
      </c>
      <c r="W4" s="9">
        <f>V4-U4</f>
      </c>
      <c r="X4" s="10">
        <v>0.125</v>
      </c>
      <c r="Y4" s="9">
        <f>IF(W4-X4&lt;0,"00:00:00",W4-X4)</f>
      </c>
      <c r="Z4" s="11">
        <v>145</v>
      </c>
      <c r="AA4" s="11">
        <v>6.9</v>
      </c>
      <c r="AB4" s="12">
        <f>Y4*Z4*24</f>
      </c>
      <c r="AC4" s="12">
        <f>S4*AA4</f>
      </c>
      <c r="AD4" s="12">
        <f>T4*AA4</f>
      </c>
      <c r="AE4" s="11">
        <v>690</v>
      </c>
      <c r="AF4" s="12">
        <v>0</v>
      </c>
      <c r="AG4" s="12">
        <f>SUM(AB4:AF4)</f>
      </c>
      <c r="AH4" s="3"/>
      <c r="AI4" s="3"/>
      <c r="AJ4" s="3"/>
      <c r="AK4" s="3"/>
      <c r="AL4" s="3"/>
    </row>
    <row r="5" ht="18" customHeight="1" spans="1:38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49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5" t="s">
        <v>55</v>
      </c>
      <c r="L5" s="5" t="s">
        <v>56</v>
      </c>
      <c r="M5" s="5" t="s">
        <v>55</v>
      </c>
      <c r="N5" s="3" t="s">
        <v>56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46161.375</v>
      </c>
      <c r="V5" s="8">
        <v>46161.584027777775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6.9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</row>
    <row r="6" ht="18" customHeight="1" spans="1:38" x14ac:dyDescent="0.25">
      <c r="A6" s="3" t="s">
        <v>37</v>
      </c>
      <c r="B6" s="3" t="s">
        <v>38</v>
      </c>
      <c r="C6" s="3" t="s">
        <v>39</v>
      </c>
      <c r="D6" s="3" t="s">
        <v>71</v>
      </c>
      <c r="E6" s="3" t="s">
        <v>57</v>
      </c>
      <c r="F6" s="3" t="s">
        <v>72</v>
      </c>
      <c r="G6" s="3" t="s">
        <v>73</v>
      </c>
      <c r="H6" s="3" t="s">
        <v>74</v>
      </c>
      <c r="I6" s="4" t="s">
        <v>46</v>
      </c>
      <c r="J6" s="4" t="s">
        <v>46</v>
      </c>
      <c r="K6" s="5" t="s">
        <v>75</v>
      </c>
      <c r="L6" s="5" t="s">
        <v>64</v>
      </c>
      <c r="M6" s="5" t="s">
        <v>75</v>
      </c>
      <c r="N6" s="3" t="s">
        <v>64</v>
      </c>
      <c r="O6" s="6">
        <v>0</v>
      </c>
      <c r="P6" s="6">
        <v>0</v>
      </c>
      <c r="Q6" s="6">
        <f>P6-O6</f>
      </c>
      <c r="R6" s="7">
        <v>100</v>
      </c>
      <c r="S6" s="6">
        <f>IF(Q6-R6&lt;0,"0",Q6-R6)</f>
      </c>
      <c r="T6" s="6">
        <v>0</v>
      </c>
      <c r="U6" s="8">
        <v>46161.04166666667</v>
      </c>
      <c r="V6" s="8">
        <v>46161.16666666667</v>
      </c>
      <c r="W6" s="9">
        <f>V6-U6</f>
      </c>
      <c r="X6" s="10">
        <v>0.125</v>
      </c>
      <c r="Y6" s="9">
        <f>IF(W6-X6&lt;0,"00:00:00",W6-X6)</f>
      </c>
      <c r="Z6" s="11">
        <v>145</v>
      </c>
      <c r="AA6" s="11">
        <v>6.9</v>
      </c>
      <c r="AB6" s="12">
        <f>Y6*Z6*24</f>
      </c>
      <c r="AC6" s="12">
        <f>S6*AA6</f>
      </c>
      <c r="AD6" s="12">
        <f>T6*AA6</f>
      </c>
      <c r="AE6" s="11">
        <v>690</v>
      </c>
      <c r="AF6" s="12">
        <v>0</v>
      </c>
      <c r="AG6" s="12">
        <f>SUM(AB6:AF6)</f>
      </c>
      <c r="AH6" s="3"/>
      <c r="AI6" s="3"/>
      <c r="AJ6" s="3"/>
      <c r="AK6" s="3"/>
      <c r="AL6" s="3"/>
    </row>
    <row r="7" ht="18" customHeight="1" spans="1:38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5" t="s">
        <v>82</v>
      </c>
      <c r="L7" s="5" t="s">
        <v>83</v>
      </c>
      <c r="M7" s="5" t="s">
        <v>84</v>
      </c>
      <c r="N7" s="3" t="s">
        <v>83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46161.27083333333</v>
      </c>
      <c r="V7" s="8">
        <v>46161.39583333333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6.9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</row>
    <row r="8" ht="18" customHeight="1" spans="1:38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85</v>
      </c>
      <c r="F8" s="3" t="s">
        <v>86</v>
      </c>
      <c r="G8" s="3" t="s">
        <v>87</v>
      </c>
      <c r="H8" s="3" t="s">
        <v>88</v>
      </c>
      <c r="I8" s="3" t="s">
        <v>89</v>
      </c>
      <c r="J8" s="3" t="s">
        <v>90</v>
      </c>
      <c r="K8" s="5" t="s">
        <v>91</v>
      </c>
      <c r="L8" s="5" t="s">
        <v>92</v>
      </c>
      <c r="M8" s="5" t="s">
        <v>93</v>
      </c>
      <c r="N8" s="4" t="s">
        <v>46</v>
      </c>
      <c r="O8" s="6">
        <v>241818</v>
      </c>
      <c r="P8" s="6">
        <v>241859</v>
      </c>
      <c r="Q8" s="6">
        <f>P8-O8</f>
      </c>
      <c r="R8" s="7">
        <v>100</v>
      </c>
      <c r="S8" s="6">
        <f>IF(Q8-R8&lt;0,"0",Q8-R8)</f>
      </c>
      <c r="T8" s="6">
        <v>0</v>
      </c>
      <c r="U8" s="8">
        <v>46161.3125</v>
      </c>
      <c r="V8" s="8">
        <v>46161.4375</v>
      </c>
      <c r="W8" s="9">
        <f>V8-U8</f>
      </c>
      <c r="X8" s="10">
        <v>0.125</v>
      </c>
      <c r="Y8" s="9">
        <f>IF(W8-X8&lt;0,"00:00:00",W8-X8)</f>
      </c>
      <c r="Z8" s="11">
        <v>145</v>
      </c>
      <c r="AA8" s="11">
        <v>6.9</v>
      </c>
      <c r="AB8" s="12">
        <f>Y8*Z8*24</f>
      </c>
      <c r="AC8" s="12">
        <f>S8*AA8</f>
      </c>
      <c r="AD8" s="12">
        <f>T8*AA8</f>
      </c>
      <c r="AE8" s="11">
        <v>690</v>
      </c>
      <c r="AF8" s="12">
        <v>0</v>
      </c>
      <c r="AG8" s="12">
        <f>SUM(AB8:AF8)</f>
      </c>
      <c r="AH8" s="3"/>
      <c r="AI8" s="3"/>
      <c r="AJ8" s="3"/>
      <c r="AK8" s="3"/>
      <c r="AL8" s="3"/>
    </row>
    <row r="9" ht="18" customHeight="1" spans="1:38" x14ac:dyDescent="0.25">
      <c r="A9" s="3" t="s">
        <v>37</v>
      </c>
      <c r="B9" s="3" t="s">
        <v>38</v>
      </c>
      <c r="C9" s="3" t="s">
        <v>39</v>
      </c>
      <c r="D9" s="3" t="s">
        <v>40</v>
      </c>
      <c r="E9" s="3" t="s">
        <v>94</v>
      </c>
      <c r="F9" s="3" t="s">
        <v>95</v>
      </c>
      <c r="G9" s="3" t="s">
        <v>96</v>
      </c>
      <c r="H9" s="3" t="s">
        <v>97</v>
      </c>
      <c r="I9" s="3" t="s">
        <v>98</v>
      </c>
      <c r="J9" s="3" t="s">
        <v>99</v>
      </c>
      <c r="K9" s="5" t="s">
        <v>100</v>
      </c>
      <c r="L9" s="5" t="s">
        <v>101</v>
      </c>
      <c r="M9" s="5" t="s">
        <v>102</v>
      </c>
      <c r="N9" s="3" t="s">
        <v>101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46161.27083333333</v>
      </c>
      <c r="V9" s="8">
        <v>46161.419444444444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7.35</v>
      </c>
      <c r="AB9" s="12">
        <f>Y9*Z9*24</f>
      </c>
      <c r="AC9" s="12">
        <f>S9*AA9</f>
      </c>
      <c r="AD9" s="12">
        <f>T9*AA9</f>
      </c>
      <c r="AE9" s="11">
        <v>735</v>
      </c>
      <c r="AF9" s="12">
        <v>0</v>
      </c>
      <c r="AG9" s="12">
        <f>SUM(AB9:AF9)</f>
      </c>
      <c r="AH9" s="3"/>
      <c r="AI9" s="3"/>
      <c r="AJ9" s="3"/>
      <c r="AK9" s="3"/>
      <c r="AL9" s="3"/>
    </row>
    <row r="10" ht="18" customHeight="1" spans="1:38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57</v>
      </c>
      <c r="F10" s="3" t="s">
        <v>103</v>
      </c>
      <c r="G10" s="3" t="s">
        <v>104</v>
      </c>
      <c r="H10" s="3" t="s">
        <v>105</v>
      </c>
      <c r="I10" s="3" t="s">
        <v>106</v>
      </c>
      <c r="J10" s="3" t="s">
        <v>107</v>
      </c>
      <c r="K10" s="5" t="s">
        <v>108</v>
      </c>
      <c r="L10" s="5" t="s">
        <v>64</v>
      </c>
      <c r="M10" s="5" t="s">
        <v>109</v>
      </c>
      <c r="N10" s="3" t="s">
        <v>64</v>
      </c>
      <c r="O10" s="6">
        <v>131753</v>
      </c>
      <c r="P10" s="6">
        <v>131769</v>
      </c>
      <c r="Q10" s="6">
        <f>P10-O10</f>
      </c>
      <c r="R10" s="7">
        <v>100</v>
      </c>
      <c r="S10" s="6">
        <f>IF(Q10-R10&lt;0,"0",Q10-R10)</f>
      </c>
      <c r="T10" s="6">
        <v>0</v>
      </c>
      <c r="U10" s="8">
        <v>46161.875</v>
      </c>
      <c r="V10" s="8">
        <v>46162.08819444444</v>
      </c>
      <c r="W10" s="9">
        <f>V10-U10</f>
      </c>
      <c r="X10" s="10">
        <v>0.125</v>
      </c>
      <c r="Y10" s="9">
        <f>IF(W10-X10&lt;0,"00:00:00",W10-X10)</f>
      </c>
      <c r="Z10" s="11">
        <v>145</v>
      </c>
      <c r="AA10" s="11">
        <v>6.9</v>
      </c>
      <c r="AB10" s="12">
        <f>Y10*Z10*24</f>
      </c>
      <c r="AC10" s="12">
        <f>S10*AA10</f>
      </c>
      <c r="AD10" s="12">
        <f>T10*AA10</f>
      </c>
      <c r="AE10" s="11">
        <v>689.9999999999999</v>
      </c>
      <c r="AF10" s="12">
        <v>5.9</v>
      </c>
      <c r="AG10" s="12">
        <f>SUM(AB10:AF10)</f>
      </c>
      <c r="AH10" s="3"/>
      <c r="AI10" s="3"/>
      <c r="AJ10" s="3"/>
      <c r="AK10" s="3"/>
      <c r="AL10" s="3"/>
    </row>
    <row r="11" ht="18" customHeight="1" spans="1:38" x14ac:dyDescent="0.25">
      <c r="A11" s="3" t="s">
        <v>37</v>
      </c>
      <c r="B11" s="3" t="s">
        <v>38</v>
      </c>
      <c r="C11" s="3" t="s">
        <v>39</v>
      </c>
      <c r="D11" s="3" t="s">
        <v>110</v>
      </c>
      <c r="E11" s="3" t="s">
        <v>111</v>
      </c>
      <c r="F11" s="3" t="s">
        <v>112</v>
      </c>
      <c r="G11" s="4" t="s">
        <v>46</v>
      </c>
      <c r="H11" s="3" t="s">
        <v>113</v>
      </c>
      <c r="I11" s="4" t="s">
        <v>46</v>
      </c>
      <c r="J11" s="4" t="s">
        <v>46</v>
      </c>
      <c r="K11" s="5" t="s">
        <v>114</v>
      </c>
      <c r="L11" s="5" t="s">
        <v>115</v>
      </c>
      <c r="M11" s="5" t="s">
        <v>93</v>
      </c>
      <c r="N11" s="4" t="s">
        <v>46</v>
      </c>
      <c r="O11" s="6">
        <v>0</v>
      </c>
      <c r="P11" s="6">
        <v>0</v>
      </c>
      <c r="Q11" s="6">
        <f>P11-O11</f>
      </c>
      <c r="R11" s="7">
        <v>100</v>
      </c>
      <c r="S11" s="6">
        <f>IF(Q11-R11&lt;0,"0",Q11-R11)</f>
      </c>
      <c r="T11" s="6">
        <v>0</v>
      </c>
      <c r="U11" s="8">
        <v>46161.375</v>
      </c>
      <c r="V11" s="8">
        <v>46161.5</v>
      </c>
      <c r="W11" s="9">
        <f>V11-U11</f>
      </c>
      <c r="X11" s="10">
        <v>0.125</v>
      </c>
      <c r="Y11" s="9">
        <f>IF(W11-X11&lt;0,"00:00:00",W11-X11)</f>
      </c>
      <c r="Z11" s="11">
        <v>145</v>
      </c>
      <c r="AA11" s="11">
        <v>6.9</v>
      </c>
      <c r="AB11" s="12">
        <f>Y11*Z11*24</f>
      </c>
      <c r="AC11" s="12">
        <f>S11*AA11</f>
      </c>
      <c r="AD11" s="12">
        <f>T11*AA11</f>
      </c>
      <c r="AE11" s="11">
        <v>690</v>
      </c>
      <c r="AF11" s="12">
        <v>0</v>
      </c>
      <c r="AG11" s="12">
        <f>SUM(AB11:AF11)</f>
      </c>
      <c r="AH11" s="3"/>
      <c r="AI11" s="3"/>
      <c r="AJ11" s="3"/>
      <c r="AK11" s="3"/>
      <c r="AL11" s="3"/>
    </row>
    <row r="12" ht="18" customHeight="1" spans="1:38" x14ac:dyDescent="0.25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116</v>
      </c>
      <c r="F12" s="3" t="s">
        <v>117</v>
      </c>
      <c r="G12" s="3" t="s">
        <v>118</v>
      </c>
      <c r="H12" s="3" t="s">
        <v>119</v>
      </c>
      <c r="I12" s="3" t="s">
        <v>120</v>
      </c>
      <c r="J12" s="3" t="s">
        <v>121</v>
      </c>
      <c r="K12" s="5" t="s">
        <v>122</v>
      </c>
      <c r="L12" s="5" t="s">
        <v>64</v>
      </c>
      <c r="M12" s="5" t="s">
        <v>123</v>
      </c>
      <c r="N12" s="3" t="s">
        <v>64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46161.39583333333</v>
      </c>
      <c r="V12" s="8">
        <v>46161.52083333333</v>
      </c>
      <c r="W12" s="9">
        <f>V12-U12</f>
      </c>
      <c r="X12" s="10">
        <v>0.125</v>
      </c>
      <c r="Y12" s="9">
        <f>IF(W12-X12&lt;0,"00:00:00",W12-X12)</f>
      </c>
      <c r="Z12" s="11">
        <v>145</v>
      </c>
      <c r="AA12" s="11">
        <v>6.9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0</v>
      </c>
      <c r="AG12" s="12">
        <f>SUM(AB12:AF12)</f>
      </c>
      <c r="AH12" s="3"/>
      <c r="AI12" s="3"/>
      <c r="AJ12" s="3"/>
      <c r="AK12" s="3"/>
      <c r="AL12" s="3"/>
    </row>
    <row r="13" ht="18" customHeight="1" spans="1:38" x14ac:dyDescent="0.25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116</v>
      </c>
      <c r="F13" s="3" t="s">
        <v>124</v>
      </c>
      <c r="G13" s="3" t="s">
        <v>118</v>
      </c>
      <c r="H13" s="3" t="s">
        <v>125</v>
      </c>
      <c r="I13" s="3" t="s">
        <v>126</v>
      </c>
      <c r="J13" s="3" t="s">
        <v>121</v>
      </c>
      <c r="K13" s="5" t="s">
        <v>122</v>
      </c>
      <c r="L13" s="5" t="s">
        <v>64</v>
      </c>
      <c r="M13" s="5" t="s">
        <v>123</v>
      </c>
      <c r="N13" s="3" t="s">
        <v>64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46161.39583333333</v>
      </c>
      <c r="V13" s="8">
        <v>46161.52083333333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6.9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</row>
    <row r="14" ht="18" customHeight="1" spans="1:38" x14ac:dyDescent="0.25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116</v>
      </c>
      <c r="F14" s="3" t="s">
        <v>127</v>
      </c>
      <c r="G14" s="3" t="s">
        <v>118</v>
      </c>
      <c r="H14" s="3" t="s">
        <v>128</v>
      </c>
      <c r="I14" s="3" t="s">
        <v>129</v>
      </c>
      <c r="J14" s="3" t="s">
        <v>121</v>
      </c>
      <c r="K14" s="5" t="s">
        <v>122</v>
      </c>
      <c r="L14" s="5" t="s">
        <v>64</v>
      </c>
      <c r="M14" s="5" t="s">
        <v>123</v>
      </c>
      <c r="N14" s="3" t="s">
        <v>64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46161.39583333333</v>
      </c>
      <c r="V14" s="8">
        <v>46161.52083333333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6.9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</row>
    <row r="15" ht="18" customHeight="1" spans="1:38" x14ac:dyDescent="0.25">
      <c r="A15" s="3" t="s">
        <v>37</v>
      </c>
      <c r="B15" s="3" t="s">
        <v>38</v>
      </c>
      <c r="C15" s="3" t="s">
        <v>39</v>
      </c>
      <c r="D15" s="3" t="s">
        <v>40</v>
      </c>
      <c r="E15" s="3" t="s">
        <v>116</v>
      </c>
      <c r="F15" s="3" t="s">
        <v>130</v>
      </c>
      <c r="G15" s="3" t="s">
        <v>131</v>
      </c>
      <c r="H15" s="3" t="s">
        <v>132</v>
      </c>
      <c r="I15" s="3" t="s">
        <v>133</v>
      </c>
      <c r="J15" s="3" t="s">
        <v>134</v>
      </c>
      <c r="K15" s="5" t="s">
        <v>108</v>
      </c>
      <c r="L15" s="5" t="s">
        <v>64</v>
      </c>
      <c r="M15" s="5" t="s">
        <v>135</v>
      </c>
      <c r="N15" s="3" t="s">
        <v>64</v>
      </c>
      <c r="O15" s="6">
        <v>29581</v>
      </c>
      <c r="P15" s="6">
        <v>29665</v>
      </c>
      <c r="Q15" s="6">
        <f>P15-O15</f>
      </c>
      <c r="R15" s="7">
        <v>100</v>
      </c>
      <c r="S15" s="6">
        <f>IF(Q15-R15&lt;0,"0",Q15-R15)</f>
      </c>
      <c r="T15" s="6">
        <v>0</v>
      </c>
      <c r="U15" s="8">
        <v>46161.5</v>
      </c>
      <c r="V15" s="8">
        <v>46161.5</v>
      </c>
      <c r="W15" s="9">
        <f>V15-U15</f>
      </c>
      <c r="X15" s="10">
        <v>0</v>
      </c>
      <c r="Y15" s="9">
        <f>IF(W15-X15&lt;0,"00:00:00",W15-X15)</f>
      </c>
      <c r="Z15" s="11">
        <v>0</v>
      </c>
      <c r="AA15" s="11">
        <v>0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</row>
    <row r="16" ht="18" customHeight="1" spans="1:38" x14ac:dyDescent="0.25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116</v>
      </c>
      <c r="F16" s="3" t="s">
        <v>136</v>
      </c>
      <c r="G16" s="3" t="s">
        <v>137</v>
      </c>
      <c r="H16" s="3" t="s">
        <v>138</v>
      </c>
      <c r="I16" s="3" t="s">
        <v>139</v>
      </c>
      <c r="J16" s="3" t="s">
        <v>140</v>
      </c>
      <c r="K16" s="5" t="s">
        <v>108</v>
      </c>
      <c r="L16" s="5" t="s">
        <v>64</v>
      </c>
      <c r="M16" s="5" t="s">
        <v>135</v>
      </c>
      <c r="N16" s="3" t="s">
        <v>64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46161.5</v>
      </c>
      <c r="V16" s="8">
        <v>46161.73125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6.9</v>
      </c>
      <c r="AB16" s="12">
        <f>Y16*Z16*24</f>
      </c>
      <c r="AC16" s="12">
        <f>S16*AA16</f>
      </c>
      <c r="AD16" s="12">
        <f>T16*AA16</f>
      </c>
      <c r="AE16" s="11">
        <v>670.6700000000002</v>
      </c>
      <c r="AF16" s="12">
        <v>5.9</v>
      </c>
      <c r="AG16" s="12">
        <f>SUM(AB16:AF16)</f>
      </c>
      <c r="AH16" s="3"/>
      <c r="AI16" s="3"/>
      <c r="AJ16" s="3"/>
      <c r="AK16" s="3"/>
      <c r="AL16" s="3"/>
    </row>
    <row r="17" ht="18" customHeight="1" spans="1:38" x14ac:dyDescent="0.25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141</v>
      </c>
      <c r="F17" s="3" t="s">
        <v>142</v>
      </c>
      <c r="G17" s="3" t="s">
        <v>143</v>
      </c>
      <c r="H17" s="3" t="s">
        <v>144</v>
      </c>
      <c r="I17" s="3" t="s">
        <v>145</v>
      </c>
      <c r="J17" s="3" t="s">
        <v>146</v>
      </c>
      <c r="K17" s="5" t="s">
        <v>147</v>
      </c>
      <c r="L17" s="5" t="s">
        <v>115</v>
      </c>
      <c r="M17" s="5" t="s">
        <v>65</v>
      </c>
      <c r="N17" s="4" t="s">
        <v>46</v>
      </c>
      <c r="O17" s="6">
        <v>142359</v>
      </c>
      <c r="P17" s="6">
        <v>142486</v>
      </c>
      <c r="Q17" s="6">
        <f>P17-O17</f>
      </c>
      <c r="R17" s="7">
        <v>100</v>
      </c>
      <c r="S17" s="6">
        <f>IF(Q17-R17&lt;0,"0",Q17-R17)</f>
      </c>
      <c r="T17" s="6">
        <v>0</v>
      </c>
      <c r="U17" s="8">
        <v>46162.39583333333</v>
      </c>
      <c r="V17" s="8">
        <v>46162.59861111111</v>
      </c>
      <c r="W17" s="9">
        <f>V17-U17</f>
      </c>
      <c r="X17" s="10">
        <v>0.125</v>
      </c>
      <c r="Y17" s="9">
        <f>IF(W17-X17&lt;0,"00:00:00",W17-X17)</f>
      </c>
      <c r="Z17" s="11">
        <v>145</v>
      </c>
      <c r="AA17" s="11">
        <v>6.9</v>
      </c>
      <c r="AB17" s="12">
        <f>Y17*Z17*24</f>
      </c>
      <c r="AC17" s="12">
        <f>S17*AA17</f>
      </c>
      <c r="AD17" s="12">
        <f>T17*AA17</f>
      </c>
      <c r="AE17" s="11">
        <v>690</v>
      </c>
      <c r="AF17" s="12">
        <v>25</v>
      </c>
      <c r="AG17" s="12">
        <f>SUM(AB17:AF17)</f>
      </c>
      <c r="AH17" s="3"/>
      <c r="AI17" s="3"/>
      <c r="AJ17" s="3"/>
      <c r="AK17" s="3"/>
      <c r="AL17" s="3"/>
    </row>
    <row r="18" ht="18" customHeight="1" spans="1:38" x14ac:dyDescent="0.2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">
        <v>45</v>
      </c>
      <c r="J18" s="3" t="s">
        <v>152</v>
      </c>
      <c r="K18" s="5" t="s">
        <v>153</v>
      </c>
      <c r="L18" s="5" t="s">
        <v>48</v>
      </c>
      <c r="M18" s="5" t="s">
        <v>154</v>
      </c>
      <c r="N18" s="3" t="s">
        <v>64</v>
      </c>
      <c r="O18" s="6">
        <v>298135</v>
      </c>
      <c r="P18" s="6">
        <v>298748</v>
      </c>
      <c r="Q18" s="6">
        <f>P18-O18</f>
      </c>
      <c r="R18" s="7">
        <v>600</v>
      </c>
      <c r="S18" s="6">
        <f>IF(Q18-R18&lt;0,"0",Q18-R18)</f>
      </c>
      <c r="T18" s="6">
        <v>0</v>
      </c>
      <c r="U18" s="8">
        <v>46161.72916666667</v>
      </c>
      <c r="V18" s="8">
        <v>46162.535416666666</v>
      </c>
      <c r="W18" s="9">
        <f>V18-U18</f>
      </c>
      <c r="X18" s="10">
        <v>0.625</v>
      </c>
      <c r="Y18" s="9">
        <f>IF(W18-X18&lt;0,"00:00:00",W18-X18)</f>
      </c>
      <c r="Z18" s="11">
        <v>145</v>
      </c>
      <c r="AA18" s="11">
        <v>7.35</v>
      </c>
      <c r="AB18" s="12">
        <f>Y18*Z18*24</f>
      </c>
      <c r="AC18" s="12">
        <f>S18*AA18</f>
      </c>
      <c r="AD18" s="12">
        <f>T18*AA18</f>
      </c>
      <c r="AE18" s="11">
        <v>4417.3</v>
      </c>
      <c r="AF18" s="12">
        <v>46.4</v>
      </c>
      <c r="AG18" s="12">
        <f>SUM(AB18:AF18)</f>
      </c>
      <c r="AH18" s="3"/>
      <c r="AI18" s="3"/>
      <c r="AJ18" s="3"/>
      <c r="AK18" s="3"/>
      <c r="AL18" s="3"/>
    </row>
    <row r="19" ht="18" customHeight="1" spans="1:38" x14ac:dyDescent="0.25">
      <c r="A19" s="3" t="s">
        <v>37</v>
      </c>
      <c r="B19" s="3" t="s">
        <v>38</v>
      </c>
      <c r="C19" s="3" t="s">
        <v>39</v>
      </c>
      <c r="D19" s="3" t="s">
        <v>40</v>
      </c>
      <c r="E19" s="3" t="s">
        <v>116</v>
      </c>
      <c r="F19" s="3" t="s">
        <v>155</v>
      </c>
      <c r="G19" s="3" t="s">
        <v>156</v>
      </c>
      <c r="H19" s="3" t="s">
        <v>157</v>
      </c>
      <c r="I19" s="3" t="s">
        <v>61</v>
      </c>
      <c r="J19" s="3" t="s">
        <v>158</v>
      </c>
      <c r="K19" s="5" t="s">
        <v>159</v>
      </c>
      <c r="L19" s="5" t="s">
        <v>64</v>
      </c>
      <c r="M19" s="5" t="s">
        <v>160</v>
      </c>
      <c r="N19" s="3" t="s">
        <v>161</v>
      </c>
      <c r="O19" s="6">
        <v>15059</v>
      </c>
      <c r="P19" s="6">
        <v>17769</v>
      </c>
      <c r="Q19" s="6">
        <f>P19-O19</f>
      </c>
      <c r="R19" s="7">
        <v>2700</v>
      </c>
      <c r="S19" s="6">
        <f>IF(Q19-R19&lt;0,"0",Q19-R19)</f>
      </c>
      <c r="T19" s="6">
        <v>0</v>
      </c>
      <c r="U19" s="8">
        <v>46161.75</v>
      </c>
      <c r="V19" s="8">
        <v>46168.35833333334</v>
      </c>
      <c r="W19" s="9">
        <f>V19-U19</f>
      </c>
      <c r="X19" s="10">
        <v>2.9166666666666665</v>
      </c>
      <c r="Y19" s="9">
        <f>IF(W19-X19&lt;0,"00:00:00",W19-X19)</f>
      </c>
      <c r="Z19" s="11">
        <v>145</v>
      </c>
      <c r="AA19" s="11">
        <v>6.9</v>
      </c>
      <c r="AB19" s="12">
        <f>Y19*Z19*24</f>
      </c>
      <c r="AC19" s="12">
        <f>S19*AA19</f>
      </c>
      <c r="AD19" s="12">
        <f>T19*AA19</f>
      </c>
      <c r="AE19" s="11">
        <v>19251</v>
      </c>
      <c r="AF19" s="12">
        <v>150.9</v>
      </c>
      <c r="AG19" s="12">
        <f>SUM(AB19:AF19)</f>
      </c>
      <c r="AH19" s="3"/>
      <c r="AI19" s="3"/>
      <c r="AJ19" s="3"/>
      <c r="AK19" s="3"/>
      <c r="AL19" s="3"/>
    </row>
    <row r="20" ht="18" customHeight="1" spans="1:38" x14ac:dyDescent="0.25">
      <c r="A20" s="3" t="s">
        <v>37</v>
      </c>
      <c r="B20" s="3" t="s">
        <v>38</v>
      </c>
      <c r="C20" s="3" t="s">
        <v>39</v>
      </c>
      <c r="D20" s="3" t="s">
        <v>40</v>
      </c>
      <c r="E20" s="3" t="s">
        <v>116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5" t="s">
        <v>167</v>
      </c>
      <c r="L20" s="5" t="s">
        <v>64</v>
      </c>
      <c r="M20" s="5" t="s">
        <v>168</v>
      </c>
      <c r="N20" s="4" t="s">
        <v>46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46162.66666666667</v>
      </c>
      <c r="V20" s="8">
        <v>46162.82291666667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6.9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</row>
    <row r="21" ht="18" customHeight="1" spans="1:38" x14ac:dyDescent="0.25">
      <c r="A21" s="3" t="s">
        <v>37</v>
      </c>
      <c r="B21" s="3" t="s">
        <v>38</v>
      </c>
      <c r="C21" s="3" t="s">
        <v>39</v>
      </c>
      <c r="D21" s="3" t="s">
        <v>40</v>
      </c>
      <c r="E21" s="3" t="s">
        <v>57</v>
      </c>
      <c r="F21" s="3" t="s">
        <v>169</v>
      </c>
      <c r="G21" s="3" t="s">
        <v>170</v>
      </c>
      <c r="H21" s="3" t="s">
        <v>171</v>
      </c>
      <c r="I21" s="3" t="s">
        <v>172</v>
      </c>
      <c r="J21" s="3" t="s">
        <v>173</v>
      </c>
      <c r="K21" s="5" t="s">
        <v>75</v>
      </c>
      <c r="L21" s="5" t="s">
        <v>64</v>
      </c>
      <c r="M21" s="5" t="s">
        <v>65</v>
      </c>
      <c r="N21" s="4" t="s">
        <v>46</v>
      </c>
      <c r="O21" s="6">
        <v>34016</v>
      </c>
      <c r="P21" s="6">
        <v>34125</v>
      </c>
      <c r="Q21" s="6">
        <f>P21-O21</f>
      </c>
      <c r="R21" s="7">
        <v>100</v>
      </c>
      <c r="S21" s="6">
        <f>IF(Q21-R21&lt;0,"0",Q21-R21)</f>
      </c>
      <c r="T21" s="6">
        <v>0</v>
      </c>
      <c r="U21" s="8">
        <v>46162.375</v>
      </c>
      <c r="V21" s="8">
        <v>46162.51527777778</v>
      </c>
      <c r="W21" s="9">
        <f>V21-U21</f>
      </c>
      <c r="X21" s="10">
        <v>0.125</v>
      </c>
      <c r="Y21" s="9">
        <f>IF(W21-X21&lt;0,"00:00:00",W21-X21)</f>
      </c>
      <c r="Z21" s="11">
        <v>145</v>
      </c>
      <c r="AA21" s="11">
        <v>6.9</v>
      </c>
      <c r="AB21" s="12">
        <f>Y21*Z21*24</f>
      </c>
      <c r="AC21" s="12">
        <f>S21*AA21</f>
      </c>
      <c r="AD21" s="12">
        <f>T21*AA21</f>
      </c>
      <c r="AE21" s="11">
        <v>690</v>
      </c>
      <c r="AF21" s="12">
        <v>25</v>
      </c>
      <c r="AG21" s="12">
        <f>SUM(AB21:AF21)</f>
      </c>
      <c r="AH21" s="3"/>
      <c r="AI21" s="3"/>
      <c r="AJ21" s="3"/>
      <c r="AK21" s="3"/>
      <c r="AL21" s="3"/>
    </row>
    <row r="22" ht="18" customHeight="1" spans="1:38" x14ac:dyDescent="0.25">
      <c r="A22" s="3" t="s">
        <v>37</v>
      </c>
      <c r="B22" s="3" t="s">
        <v>38</v>
      </c>
      <c r="C22" s="3" t="s">
        <v>39</v>
      </c>
      <c r="D22" s="3" t="s">
        <v>40</v>
      </c>
      <c r="E22" s="3" t="s">
        <v>116</v>
      </c>
      <c r="F22" s="3" t="s">
        <v>174</v>
      </c>
      <c r="G22" s="3" t="s">
        <v>175</v>
      </c>
      <c r="H22" s="3" t="s">
        <v>176</v>
      </c>
      <c r="I22" s="3" t="s">
        <v>177</v>
      </c>
      <c r="J22" s="3" t="s">
        <v>178</v>
      </c>
      <c r="K22" s="5" t="s">
        <v>179</v>
      </c>
      <c r="L22" s="5" t="s">
        <v>64</v>
      </c>
      <c r="M22" s="5" t="s">
        <v>180</v>
      </c>
      <c r="N22" s="3" t="s">
        <v>64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46161.85416666667</v>
      </c>
      <c r="V22" s="8">
        <v>46162.429861111115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6.9</v>
      </c>
      <c r="AB22" s="12">
        <f>Y22*Z22*24</f>
      </c>
      <c r="AC22" s="12">
        <f>S22*AA22</f>
      </c>
      <c r="AD22" s="12">
        <f>T22*AA22</f>
      </c>
      <c r="AE22" s="11">
        <v>689.9999999999999</v>
      </c>
      <c r="AF22" s="12">
        <v>13.6</v>
      </c>
      <c r="AG22" s="12">
        <f>SUM(AB22:AF22)</f>
      </c>
      <c r="AH22" s="3"/>
      <c r="AI22" s="3"/>
      <c r="AJ22" s="3"/>
      <c r="AK22" s="3"/>
      <c r="AL22" s="3"/>
    </row>
    <row r="23" ht="18" customHeight="1" spans="1:38" x14ac:dyDescent="0.25">
      <c r="A23" s="3" t="s">
        <v>37</v>
      </c>
      <c r="B23" s="3" t="s">
        <v>38</v>
      </c>
      <c r="C23" s="3" t="s">
        <v>39</v>
      </c>
      <c r="D23" s="3" t="s">
        <v>40</v>
      </c>
      <c r="E23" s="3" t="s">
        <v>116</v>
      </c>
      <c r="F23" s="3" t="s">
        <v>181</v>
      </c>
      <c r="G23" s="3" t="s">
        <v>182</v>
      </c>
      <c r="H23" s="3" t="s">
        <v>183</v>
      </c>
      <c r="I23" s="3" t="s">
        <v>133</v>
      </c>
      <c r="J23" s="3" t="s">
        <v>107</v>
      </c>
      <c r="K23" s="5" t="s">
        <v>179</v>
      </c>
      <c r="L23" s="5" t="s">
        <v>64</v>
      </c>
      <c r="M23" s="5" t="s">
        <v>122</v>
      </c>
      <c r="N23" s="3" t="s">
        <v>64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46161.83333333333</v>
      </c>
      <c r="V23" s="8">
        <v>46161.95833333333</v>
      </c>
      <c r="W23" s="9">
        <f>V23-U23</f>
      </c>
      <c r="X23" s="10">
        <v>0.125</v>
      </c>
      <c r="Y23" s="9">
        <f>IF(W23-X23&lt;0,"00:00:00",W23-X23)</f>
      </c>
      <c r="Z23" s="11">
        <v>145</v>
      </c>
      <c r="AA23" s="11">
        <v>6.9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</row>
    <row r="24" ht="18" customHeight="1" spans="1:38" x14ac:dyDescent="0.25">
      <c r="A24" s="3" t="s">
        <v>37</v>
      </c>
      <c r="B24" s="3" t="s">
        <v>38</v>
      </c>
      <c r="C24" s="3" t="s">
        <v>39</v>
      </c>
      <c r="D24" s="3" t="s">
        <v>40</v>
      </c>
      <c r="E24" s="3" t="s">
        <v>184</v>
      </c>
      <c r="F24" s="3" t="s">
        <v>185</v>
      </c>
      <c r="G24" s="3" t="s">
        <v>186</v>
      </c>
      <c r="H24" s="3" t="s">
        <v>187</v>
      </c>
      <c r="I24" s="3" t="s">
        <v>188</v>
      </c>
      <c r="J24" s="3" t="s">
        <v>189</v>
      </c>
      <c r="K24" s="5" t="s">
        <v>108</v>
      </c>
      <c r="L24" s="5" t="s">
        <v>64</v>
      </c>
      <c r="M24" s="5" t="s">
        <v>190</v>
      </c>
      <c r="N24" s="3" t="s">
        <v>92</v>
      </c>
      <c r="O24" s="6">
        <v>197811</v>
      </c>
      <c r="P24" s="6">
        <v>198688</v>
      </c>
      <c r="Q24" s="6">
        <f>P24-O24</f>
      </c>
      <c r="R24" s="7">
        <v>900</v>
      </c>
      <c r="S24" s="6">
        <f>IF(Q24-R24&lt;0,"0",Q24-R24)</f>
      </c>
      <c r="T24" s="6">
        <v>0</v>
      </c>
      <c r="U24" s="8">
        <v>46162.29166666667</v>
      </c>
      <c r="V24" s="8">
        <v>46164.34513888889</v>
      </c>
      <c r="W24" s="9">
        <f>V24-U24</f>
      </c>
      <c r="X24" s="10">
        <v>0.9583333333333334</v>
      </c>
      <c r="Y24" s="9">
        <f>IF(W24-X24&lt;0,"00:00:00",W24-X24)</f>
      </c>
      <c r="Z24" s="11">
        <v>145</v>
      </c>
      <c r="AA24" s="11">
        <v>6.9</v>
      </c>
      <c r="AB24" s="12">
        <f>Y24*Z24*24</f>
      </c>
      <c r="AC24" s="12">
        <f>S24*AA24</f>
      </c>
      <c r="AD24" s="12">
        <f>T24*AA24</f>
      </c>
      <c r="AE24" s="11">
        <v>6209.999999999999</v>
      </c>
      <c r="AF24" s="12">
        <v>85.3</v>
      </c>
      <c r="AG24" s="12">
        <f>SUM(AB24:AF24)</f>
      </c>
      <c r="AH24" s="3"/>
      <c r="AI24" s="3"/>
      <c r="AJ24" s="3"/>
      <c r="AK24" s="3"/>
      <c r="AL24" s="3"/>
    </row>
    <row r="25" ht="18" customHeight="1" spans="1:38" x14ac:dyDescent="0.25">
      <c r="A25" s="3" t="s">
        <v>37</v>
      </c>
      <c r="B25" s="3" t="s">
        <v>38</v>
      </c>
      <c r="C25" s="3" t="s">
        <v>39</v>
      </c>
      <c r="D25" s="3" t="s">
        <v>40</v>
      </c>
      <c r="E25" s="3" t="s">
        <v>57</v>
      </c>
      <c r="F25" s="3" t="s">
        <v>191</v>
      </c>
      <c r="G25" s="3" t="s">
        <v>192</v>
      </c>
      <c r="H25" s="3" t="s">
        <v>193</v>
      </c>
      <c r="I25" s="3" t="s">
        <v>194</v>
      </c>
      <c r="J25" s="3" t="s">
        <v>195</v>
      </c>
      <c r="K25" s="5" t="s">
        <v>75</v>
      </c>
      <c r="L25" s="5" t="s">
        <v>64</v>
      </c>
      <c r="M25" s="5" t="s">
        <v>65</v>
      </c>
      <c r="N25" s="4" t="s">
        <v>46</v>
      </c>
      <c r="O25" s="6">
        <v>46497</v>
      </c>
      <c r="P25" s="6">
        <v>46698</v>
      </c>
      <c r="Q25" s="6">
        <f>P25-O25</f>
      </c>
      <c r="R25" s="7">
        <v>200</v>
      </c>
      <c r="S25" s="6">
        <f>IF(Q25-R25&lt;0,"0",Q25-R25)</f>
      </c>
      <c r="T25" s="6">
        <v>0</v>
      </c>
      <c r="U25" s="8">
        <v>46161.91666666667</v>
      </c>
      <c r="V25" s="8">
        <v>46162.125</v>
      </c>
      <c r="W25" s="9">
        <f>V25-U25</f>
      </c>
      <c r="X25" s="10">
        <v>0.20833333333333334</v>
      </c>
      <c r="Y25" s="9">
        <f>IF(W25-X25&lt;0,"00:00:00",W25-X25)</f>
      </c>
      <c r="Z25" s="11">
        <v>145</v>
      </c>
      <c r="AA25" s="11">
        <v>6.9</v>
      </c>
      <c r="AB25" s="12">
        <f>Y25*Z25*24</f>
      </c>
      <c r="AC25" s="12">
        <f>S25*AA25</f>
      </c>
      <c r="AD25" s="12">
        <f>T25*AA25</f>
      </c>
      <c r="AE25" s="11">
        <v>1373.1</v>
      </c>
      <c r="AF25" s="12">
        <v>35</v>
      </c>
      <c r="AG25" s="12">
        <f>SUM(AB25:AF25)</f>
      </c>
      <c r="AH25" s="3"/>
      <c r="AI25" s="3"/>
      <c r="AJ25" s="3"/>
      <c r="AK25" s="3"/>
      <c r="AL25" s="3"/>
    </row>
    <row r="26" ht="18" customHeight="1" spans="1:38" x14ac:dyDescent="0.25">
      <c r="A26" s="3" t="s">
        <v>37</v>
      </c>
      <c r="B26" s="3" t="s">
        <v>38</v>
      </c>
      <c r="C26" s="3" t="s">
        <v>39</v>
      </c>
      <c r="D26" s="3" t="s">
        <v>40</v>
      </c>
      <c r="E26" s="3" t="s">
        <v>184</v>
      </c>
      <c r="F26" s="3" t="s">
        <v>196</v>
      </c>
      <c r="G26" s="3" t="s">
        <v>197</v>
      </c>
      <c r="H26" s="3" t="s">
        <v>198</v>
      </c>
      <c r="I26" s="3" t="s">
        <v>199</v>
      </c>
      <c r="J26" s="3" t="s">
        <v>200</v>
      </c>
      <c r="K26" s="5" t="s">
        <v>108</v>
      </c>
      <c r="L26" s="5" t="s">
        <v>64</v>
      </c>
      <c r="M26" s="5" t="s">
        <v>190</v>
      </c>
      <c r="N26" s="3" t="s">
        <v>92</v>
      </c>
      <c r="O26" s="6">
        <v>421294</v>
      </c>
      <c r="P26" s="6">
        <v>422178</v>
      </c>
      <c r="Q26" s="6">
        <f>P26-O26</f>
      </c>
      <c r="R26" s="7">
        <v>900</v>
      </c>
      <c r="S26" s="6">
        <f>IF(Q26-R26&lt;0,"0",Q26-R26)</f>
      </c>
      <c r="T26" s="6">
        <v>0</v>
      </c>
      <c r="U26" s="8">
        <v>46162.20833333333</v>
      </c>
      <c r="V26" s="8">
        <v>46164.34583333333</v>
      </c>
      <c r="W26" s="9">
        <f>V26-U26</f>
      </c>
      <c r="X26" s="10">
        <v>0.9583333333333334</v>
      </c>
      <c r="Y26" s="9">
        <f>IF(W26-X26&lt;0,"00:00:00",W26-X26)</f>
      </c>
      <c r="Z26" s="11">
        <v>145</v>
      </c>
      <c r="AA26" s="11">
        <v>6.9</v>
      </c>
      <c r="AB26" s="12">
        <f>Y26*Z26*24</f>
      </c>
      <c r="AC26" s="12">
        <f>S26*AA26</f>
      </c>
      <c r="AD26" s="12">
        <f>T26*AA26</f>
      </c>
      <c r="AE26" s="11">
        <v>6209.999999999999</v>
      </c>
      <c r="AF26" s="12">
        <v>85.3</v>
      </c>
      <c r="AG26" s="12">
        <f>SUM(AB26:AF26)</f>
      </c>
      <c r="AH26" s="3"/>
      <c r="AI26" s="3"/>
      <c r="AJ26" s="3"/>
      <c r="AK26" s="3"/>
      <c r="AL26" s="3"/>
    </row>
    <row r="27" ht="18" customHeight="1" spans="1:38" x14ac:dyDescent="0.25">
      <c r="A27" s="3" t="s">
        <v>37</v>
      </c>
      <c r="B27" s="3" t="s">
        <v>38</v>
      </c>
      <c r="C27" s="3" t="s">
        <v>39</v>
      </c>
      <c r="D27" s="3" t="s">
        <v>40</v>
      </c>
      <c r="E27" s="3" t="s">
        <v>41</v>
      </c>
      <c r="F27" s="3" t="s">
        <v>201</v>
      </c>
      <c r="G27" s="3" t="s">
        <v>202</v>
      </c>
      <c r="H27" s="3" t="s">
        <v>203</v>
      </c>
      <c r="I27" s="3" t="s">
        <v>204</v>
      </c>
      <c r="J27" s="3" t="s">
        <v>205</v>
      </c>
      <c r="K27" s="5" t="s">
        <v>47</v>
      </c>
      <c r="L27" s="5" t="s">
        <v>48</v>
      </c>
      <c r="M27" s="5" t="s">
        <v>47</v>
      </c>
      <c r="N27" s="3" t="s">
        <v>48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7.35</v>
      </c>
      <c r="AB27" s="12">
        <f>Y27*Z27*24</f>
      </c>
      <c r="AC27" s="12">
        <f>S27*AA27</f>
      </c>
      <c r="AD27" s="12">
        <f>T27*AA27</f>
      </c>
      <c r="AE27" s="11">
        <v>747.08</v>
      </c>
      <c r="AF27" s="12">
        <v>0</v>
      </c>
      <c r="AG27" s="12">
        <f>SUM(AB27:AF27)</f>
      </c>
      <c r="AH27" s="3"/>
      <c r="AI27" s="3"/>
      <c r="AJ27" s="3"/>
      <c r="AK27" s="3"/>
      <c r="AL27" s="3"/>
    </row>
    <row r="28" ht="18" customHeight="1" spans="1:38" x14ac:dyDescent="0.25">
      <c r="A28" s="3" t="s">
        <v>37</v>
      </c>
      <c r="B28" s="3" t="s">
        <v>38</v>
      </c>
      <c r="C28" s="3" t="s">
        <v>39</v>
      </c>
      <c r="D28" s="3" t="s">
        <v>40</v>
      </c>
      <c r="E28" s="3" t="s">
        <v>206</v>
      </c>
      <c r="F28" s="3" t="s">
        <v>207</v>
      </c>
      <c r="G28" s="3" t="s">
        <v>208</v>
      </c>
      <c r="H28" s="3" t="s">
        <v>209</v>
      </c>
      <c r="I28" s="3" t="s">
        <v>210</v>
      </c>
      <c r="J28" s="4" t="s">
        <v>46</v>
      </c>
      <c r="K28" s="5" t="s">
        <v>159</v>
      </c>
      <c r="L28" s="5" t="s">
        <v>64</v>
      </c>
      <c r="M28" s="5" t="s">
        <v>211</v>
      </c>
      <c r="N28" s="4" t="s">
        <v>46</v>
      </c>
      <c r="O28" s="6">
        <v>108612</v>
      </c>
      <c r="P28" s="6">
        <v>108672</v>
      </c>
      <c r="Q28" s="6">
        <f>P28-O28</f>
      </c>
      <c r="R28" s="7">
        <v>100</v>
      </c>
      <c r="S28" s="6">
        <f>IF(Q28-R28&lt;0,"0",Q28-R28)</f>
      </c>
      <c r="T28" s="6">
        <v>0</v>
      </c>
      <c r="U28" s="8">
        <v>46162.14583333333</v>
      </c>
      <c r="V28" s="8">
        <v>46162.27083333333</v>
      </c>
      <c r="W28" s="9">
        <f>V28-U28</f>
      </c>
      <c r="X28" s="10">
        <v>0.125</v>
      </c>
      <c r="Y28" s="9">
        <f>IF(W28-X28&lt;0,"00:00:00",W28-X28)</f>
      </c>
      <c r="Z28" s="11">
        <v>145</v>
      </c>
      <c r="AA28" s="11">
        <v>6.9</v>
      </c>
      <c r="AB28" s="12">
        <f>Y28*Z28*24</f>
      </c>
      <c r="AC28" s="12">
        <f>S28*AA28</f>
      </c>
      <c r="AD28" s="12">
        <f>T28*AA28</f>
      </c>
      <c r="AE28" s="11">
        <v>690</v>
      </c>
      <c r="AF28" s="12">
        <v>13.7</v>
      </c>
      <c r="AG28" s="12">
        <f>SUM(AB28:AF28)</f>
      </c>
      <c r="AH28" s="3"/>
      <c r="AI28" s="3"/>
      <c r="AJ28" s="3"/>
      <c r="AK28" s="3"/>
      <c r="AL28" s="3"/>
    </row>
    <row r="29" ht="18" customHeight="1" spans="1:38" x14ac:dyDescent="0.25">
      <c r="A29" s="3" t="s">
        <v>37</v>
      </c>
      <c r="B29" s="3" t="s">
        <v>38</v>
      </c>
      <c r="C29" s="3" t="s">
        <v>39</v>
      </c>
      <c r="D29" s="3" t="s">
        <v>40</v>
      </c>
      <c r="E29" s="3" t="s">
        <v>184</v>
      </c>
      <c r="F29" s="3" t="s">
        <v>212</v>
      </c>
      <c r="G29" s="3" t="s">
        <v>213</v>
      </c>
      <c r="H29" s="3" t="s">
        <v>214</v>
      </c>
      <c r="I29" s="3" t="s">
        <v>215</v>
      </c>
      <c r="J29" s="3" t="s">
        <v>216</v>
      </c>
      <c r="K29" s="5" t="s">
        <v>108</v>
      </c>
      <c r="L29" s="5" t="s">
        <v>64</v>
      </c>
      <c r="M29" s="5" t="s">
        <v>190</v>
      </c>
      <c r="N29" s="3" t="s">
        <v>92</v>
      </c>
      <c r="O29" s="6">
        <v>94878</v>
      </c>
      <c r="P29" s="6">
        <v>95758</v>
      </c>
      <c r="Q29" s="6">
        <f>P29-O29</f>
      </c>
      <c r="R29" s="7">
        <v>900</v>
      </c>
      <c r="S29" s="6">
        <f>IF(Q29-R29&lt;0,"0",Q29-R29)</f>
      </c>
      <c r="T29" s="6">
        <v>0</v>
      </c>
      <c r="U29" s="8">
        <v>46162.04166666667</v>
      </c>
      <c r="V29" s="8">
        <v>46163.075694444444</v>
      </c>
      <c r="W29" s="9">
        <f>V29-U29</f>
      </c>
      <c r="X29" s="10">
        <v>0.9583333333333334</v>
      </c>
      <c r="Y29" s="9">
        <f>IF(W29-X29&lt;0,"00:00:00",W29-X29)</f>
      </c>
      <c r="Z29" s="11">
        <v>145</v>
      </c>
      <c r="AA29" s="11">
        <v>6.9</v>
      </c>
      <c r="AB29" s="12">
        <f>Y29*Z29*24</f>
      </c>
      <c r="AC29" s="12">
        <f>S29*AA29</f>
      </c>
      <c r="AD29" s="12">
        <f>T29*AA29</f>
      </c>
      <c r="AE29" s="11">
        <v>6210</v>
      </c>
      <c r="AF29" s="12">
        <v>85.3</v>
      </c>
      <c r="AG29" s="12">
        <f>SUM(AB29:AF29)</f>
      </c>
      <c r="AH29" s="3"/>
      <c r="AI29" s="3"/>
      <c r="AJ29" s="3"/>
      <c r="AK29" s="3"/>
      <c r="AL29" s="3"/>
    </row>
    <row r="30" ht="18" customHeight="1" spans="1:38" x14ac:dyDescent="0.25">
      <c r="A30" s="3" t="s">
        <v>37</v>
      </c>
      <c r="B30" s="3" t="s">
        <v>38</v>
      </c>
      <c r="C30" s="3" t="s">
        <v>39</v>
      </c>
      <c r="D30" s="3" t="s">
        <v>40</v>
      </c>
      <c r="E30" s="3" t="s">
        <v>116</v>
      </c>
      <c r="F30" s="3" t="s">
        <v>217</v>
      </c>
      <c r="G30" s="3" t="s">
        <v>218</v>
      </c>
      <c r="H30" s="3" t="s">
        <v>219</v>
      </c>
      <c r="I30" s="3" t="s">
        <v>220</v>
      </c>
      <c r="J30" s="3" t="s">
        <v>221</v>
      </c>
      <c r="K30" s="5" t="s">
        <v>135</v>
      </c>
      <c r="L30" s="5" t="s">
        <v>64</v>
      </c>
      <c r="M30" s="5" t="s">
        <v>222</v>
      </c>
      <c r="N30" s="3" t="s">
        <v>64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46162.33333333333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6.9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</row>
    <row r="31" ht="18" customHeight="1" spans="1:38" x14ac:dyDescent="0.25">
      <c r="A31" s="3" t="s">
        <v>37</v>
      </c>
      <c r="B31" s="3" t="s">
        <v>38</v>
      </c>
      <c r="C31" s="3" t="s">
        <v>39</v>
      </c>
      <c r="D31" s="3" t="s">
        <v>40</v>
      </c>
      <c r="E31" s="3" t="s">
        <v>94</v>
      </c>
      <c r="F31" s="3" t="s">
        <v>223</v>
      </c>
      <c r="G31" s="3" t="s">
        <v>224</v>
      </c>
      <c r="H31" s="3" t="s">
        <v>225</v>
      </c>
      <c r="I31" s="3" t="s">
        <v>226</v>
      </c>
      <c r="J31" s="3" t="s">
        <v>227</v>
      </c>
      <c r="K31" s="5" t="s">
        <v>100</v>
      </c>
      <c r="L31" s="5" t="s">
        <v>101</v>
      </c>
      <c r="M31" s="5" t="s">
        <v>102</v>
      </c>
      <c r="N31" s="3" t="s">
        <v>101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46162.25</v>
      </c>
      <c r="V31" s="8">
        <v>46162.44097222222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7.35</v>
      </c>
      <c r="AB31" s="12">
        <f>Y31*Z31*24</f>
      </c>
      <c r="AC31" s="12">
        <f>S31*AA31</f>
      </c>
      <c r="AD31" s="12">
        <f>T31*AA31</f>
      </c>
      <c r="AE31" s="11">
        <v>674.5899999999999</v>
      </c>
      <c r="AF31" s="12">
        <v>0</v>
      </c>
      <c r="AG31" s="12">
        <f>SUM(AB31:AF31)</f>
      </c>
      <c r="AH31" s="3"/>
      <c r="AI31" s="3"/>
      <c r="AJ31" s="3"/>
      <c r="AK31" s="3"/>
      <c r="AL31" s="3"/>
    </row>
    <row r="32" ht="18" customHeight="1" spans="1:38" x14ac:dyDescent="0.25">
      <c r="A32" s="3" t="s">
        <v>37</v>
      </c>
      <c r="B32" s="3" t="s">
        <v>38</v>
      </c>
      <c r="C32" s="3" t="s">
        <v>39</v>
      </c>
      <c r="D32" s="3" t="s">
        <v>40</v>
      </c>
      <c r="E32" s="3" t="s">
        <v>228</v>
      </c>
      <c r="F32" s="3" t="s">
        <v>229</v>
      </c>
      <c r="G32" s="3" t="s">
        <v>230</v>
      </c>
      <c r="H32" s="3" t="s">
        <v>231</v>
      </c>
      <c r="I32" s="3" t="s">
        <v>232</v>
      </c>
      <c r="J32" s="3" t="s">
        <v>233</v>
      </c>
      <c r="K32" s="5" t="s">
        <v>234</v>
      </c>
      <c r="L32" s="5" t="s">
        <v>235</v>
      </c>
      <c r="M32" s="5" t="s">
        <v>236</v>
      </c>
      <c r="N32" s="3" t="s">
        <v>235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46162.33333333333</v>
      </c>
      <c r="V32" s="8">
        <v>46162.45833333333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6.9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</row>
    <row r="33" ht="18" customHeight="1" spans="1:38" x14ac:dyDescent="0.25">
      <c r="A33" s="3" t="s">
        <v>37</v>
      </c>
      <c r="B33" s="3" t="s">
        <v>38</v>
      </c>
      <c r="C33" s="3" t="s">
        <v>39</v>
      </c>
      <c r="D33" s="3" t="s">
        <v>40</v>
      </c>
      <c r="E33" s="3" t="s">
        <v>57</v>
      </c>
      <c r="F33" s="3" t="s">
        <v>237</v>
      </c>
      <c r="G33" s="3" t="s">
        <v>238</v>
      </c>
      <c r="H33" s="3" t="s">
        <v>239</v>
      </c>
      <c r="I33" s="3" t="s">
        <v>240</v>
      </c>
      <c r="J33" s="3" t="s">
        <v>241</v>
      </c>
      <c r="K33" s="5" t="s">
        <v>63</v>
      </c>
      <c r="L33" s="5" t="s">
        <v>64</v>
      </c>
      <c r="M33" s="5" t="s">
        <v>65</v>
      </c>
      <c r="N33" s="4" t="s">
        <v>46</v>
      </c>
      <c r="O33" s="6">
        <v>498198</v>
      </c>
      <c r="P33" s="6">
        <v>498399</v>
      </c>
      <c r="Q33" s="6">
        <f>P33-O33</f>
      </c>
      <c r="R33" s="7">
        <v>200</v>
      </c>
      <c r="S33" s="6">
        <f>IF(Q33-R33&lt;0,"0",Q33-R33)</f>
      </c>
      <c r="T33" s="6">
        <v>0</v>
      </c>
      <c r="U33" s="8">
        <v>46162.336805555555</v>
      </c>
      <c r="V33" s="8">
        <v>46162.59375</v>
      </c>
      <c r="W33" s="9">
        <f>V33-U33</f>
      </c>
      <c r="X33" s="10">
        <v>0.20833333333333334</v>
      </c>
      <c r="Y33" s="9">
        <f>IF(W33-X33&lt;0,"00:00:00",W33-X33)</f>
      </c>
      <c r="Z33" s="11">
        <v>145</v>
      </c>
      <c r="AA33" s="11">
        <v>6.9</v>
      </c>
      <c r="AB33" s="12">
        <f>Y33*Z33*24</f>
      </c>
      <c r="AC33" s="12">
        <f>S33*AA33</f>
      </c>
      <c r="AD33" s="12">
        <f>T33*AA33</f>
      </c>
      <c r="AE33" s="11">
        <v>1373.1</v>
      </c>
      <c r="AF33" s="12">
        <v>35</v>
      </c>
      <c r="AG33" s="12">
        <f>SUM(AB33:AF33)</f>
      </c>
      <c r="AH33" s="3"/>
      <c r="AI33" s="3"/>
      <c r="AJ33" s="3"/>
      <c r="AK33" s="3"/>
      <c r="AL33" s="3"/>
    </row>
    <row r="34" ht="18" customHeight="1" spans="1:38" x14ac:dyDescent="0.25">
      <c r="A34" s="3" t="s">
        <v>37</v>
      </c>
      <c r="B34" s="3" t="s">
        <v>38</v>
      </c>
      <c r="C34" s="3" t="s">
        <v>39</v>
      </c>
      <c r="D34" s="3" t="s">
        <v>40</v>
      </c>
      <c r="E34" s="3" t="s">
        <v>206</v>
      </c>
      <c r="F34" s="3" t="s">
        <v>242</v>
      </c>
      <c r="G34" s="3" t="s">
        <v>243</v>
      </c>
      <c r="H34" s="3" t="s">
        <v>244</v>
      </c>
      <c r="I34" s="3" t="s">
        <v>245</v>
      </c>
      <c r="J34" s="3" t="s">
        <v>246</v>
      </c>
      <c r="K34" s="5" t="s">
        <v>108</v>
      </c>
      <c r="L34" s="5" t="s">
        <v>64</v>
      </c>
      <c r="M34" s="5" t="s">
        <v>211</v>
      </c>
      <c r="N34" s="4" t="s">
        <v>46</v>
      </c>
      <c r="O34" s="6">
        <v>30412</v>
      </c>
      <c r="P34" s="6">
        <v>30458</v>
      </c>
      <c r="Q34" s="6">
        <f>P34-O34</f>
      </c>
      <c r="R34" s="7">
        <v>100</v>
      </c>
      <c r="S34" s="6">
        <f>IF(Q34-R34&lt;0,"0",Q34-R34)</f>
      </c>
      <c r="T34" s="6">
        <v>0</v>
      </c>
      <c r="U34" s="8">
        <v>46162.381944444445</v>
      </c>
      <c r="V34" s="8">
        <v>46162.506944444445</v>
      </c>
      <c r="W34" s="9">
        <f>V34-U34</f>
      </c>
      <c r="X34" s="10">
        <v>0.125</v>
      </c>
      <c r="Y34" s="9">
        <f>IF(W34-X34&lt;0,"00:00:00",W34-X34)</f>
      </c>
      <c r="Z34" s="11">
        <v>145</v>
      </c>
      <c r="AA34" s="11">
        <v>6.9</v>
      </c>
      <c r="AB34" s="12">
        <f>Y34*Z34*24</f>
      </c>
      <c r="AC34" s="12">
        <f>S34*AA34</f>
      </c>
      <c r="AD34" s="12">
        <f>T34*AA34</f>
      </c>
      <c r="AE34" s="11">
        <v>690</v>
      </c>
      <c r="AF34" s="12">
        <v>0</v>
      </c>
      <c r="AG34" s="12">
        <f>SUM(AB34:AF34)</f>
      </c>
      <c r="AH34" s="3"/>
      <c r="AI34" s="3"/>
      <c r="AJ34" s="3"/>
      <c r="AK34" s="3"/>
      <c r="AL34" s="3"/>
    </row>
    <row r="35" ht="18" customHeight="1" spans="1:38" x14ac:dyDescent="0.25">
      <c r="A35" s="3" t="s">
        <v>37</v>
      </c>
      <c r="B35" s="3" t="s">
        <v>38</v>
      </c>
      <c r="C35" s="3" t="s">
        <v>39</v>
      </c>
      <c r="D35" s="3" t="s">
        <v>40</v>
      </c>
      <c r="E35" s="3" t="s">
        <v>184</v>
      </c>
      <c r="F35" s="3" t="s">
        <v>247</v>
      </c>
      <c r="G35" s="3" t="s">
        <v>248</v>
      </c>
      <c r="H35" s="3" t="s">
        <v>249</v>
      </c>
      <c r="I35" s="3" t="s">
        <v>250</v>
      </c>
      <c r="J35" s="3" t="s">
        <v>251</v>
      </c>
      <c r="K35" s="5" t="s">
        <v>159</v>
      </c>
      <c r="L35" s="5" t="s">
        <v>64</v>
      </c>
      <c r="M35" s="5" t="s">
        <v>252</v>
      </c>
      <c r="N35" s="3" t="s">
        <v>92</v>
      </c>
      <c r="O35" s="6">
        <v>3454</v>
      </c>
      <c r="P35" s="6">
        <v>4321</v>
      </c>
      <c r="Q35" s="6">
        <f>P35-O35</f>
      </c>
      <c r="R35" s="7">
        <v>900</v>
      </c>
      <c r="S35" s="6">
        <f>IF(Q35-R35&lt;0,"0",Q35-R35)</f>
      </c>
      <c r="T35" s="6">
        <v>0</v>
      </c>
      <c r="U35" s="8">
        <v>46163.16666666667</v>
      </c>
      <c r="V35" s="8">
        <v>46164.51736111111</v>
      </c>
      <c r="W35" s="9">
        <f>V35-U35</f>
      </c>
      <c r="X35" s="10">
        <v>0.9583333333333334</v>
      </c>
      <c r="Y35" s="9">
        <f>IF(W35-X35&lt;0,"00:00:00",W35-X35)</f>
      </c>
      <c r="Z35" s="11">
        <v>145</v>
      </c>
      <c r="AA35" s="11">
        <v>6.9</v>
      </c>
      <c r="AB35" s="12">
        <f>Y35*Z35*24</f>
      </c>
      <c r="AC35" s="12">
        <f>S35*AA35</f>
      </c>
      <c r="AD35" s="12">
        <f>T35*AA35</f>
      </c>
      <c r="AE35" s="11">
        <v>6210</v>
      </c>
      <c r="AF35" s="12">
        <v>85.3</v>
      </c>
      <c r="AG35" s="12">
        <f>SUM(AB35:AF35)</f>
      </c>
      <c r="AH35" s="3"/>
      <c r="AI35" s="3"/>
      <c r="AJ35" s="3"/>
      <c r="AK35" s="3"/>
      <c r="AL35" s="3"/>
    </row>
    <row r="36" ht="18" customHeight="1" spans="1:38" x14ac:dyDescent="0.25">
      <c r="A36" s="3" t="s">
        <v>37</v>
      </c>
      <c r="B36" s="3" t="s">
        <v>38</v>
      </c>
      <c r="C36" s="3" t="s">
        <v>39</v>
      </c>
      <c r="D36" s="3" t="s">
        <v>40</v>
      </c>
      <c r="E36" s="3" t="s">
        <v>253</v>
      </c>
      <c r="F36" s="3" t="s">
        <v>254</v>
      </c>
      <c r="G36" s="3" t="s">
        <v>255</v>
      </c>
      <c r="H36" s="3" t="s">
        <v>256</v>
      </c>
      <c r="I36" s="3" t="s">
        <v>257</v>
      </c>
      <c r="J36" s="3" t="s">
        <v>258</v>
      </c>
      <c r="K36" s="5" t="s">
        <v>259</v>
      </c>
      <c r="L36" s="5" t="s">
        <v>64</v>
      </c>
      <c r="M36" s="5" t="s">
        <v>75</v>
      </c>
      <c r="N36" s="3" t="s">
        <v>64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46162.65486111111</v>
      </c>
      <c r="V36" s="8">
        <v>46162.77986111111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6.9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</row>
    <row r="37" ht="18" customHeight="1" spans="1:38" x14ac:dyDescent="0.25">
      <c r="A37" s="3" t="s">
        <v>37</v>
      </c>
      <c r="B37" s="3" t="s">
        <v>38</v>
      </c>
      <c r="C37" s="3" t="s">
        <v>39</v>
      </c>
      <c r="D37" s="3" t="s">
        <v>40</v>
      </c>
      <c r="E37" s="3" t="s">
        <v>260</v>
      </c>
      <c r="F37" s="3" t="s">
        <v>261</v>
      </c>
      <c r="G37" s="3" t="s">
        <v>262</v>
      </c>
      <c r="H37" s="3" t="s">
        <v>263</v>
      </c>
      <c r="I37" s="3" t="s">
        <v>264</v>
      </c>
      <c r="J37" s="3" t="s">
        <v>265</v>
      </c>
      <c r="K37" s="5" t="s">
        <v>266</v>
      </c>
      <c r="L37" s="5" t="s">
        <v>92</v>
      </c>
      <c r="M37" s="5" t="s">
        <v>267</v>
      </c>
      <c r="N37" s="3" t="s">
        <v>92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46163.375</v>
      </c>
      <c r="V37" s="8">
        <v>46163.5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6.9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</row>
    <row r="38" ht="18" customHeight="1" spans="1:38" x14ac:dyDescent="0.25">
      <c r="A38" s="3" t="s">
        <v>37</v>
      </c>
      <c r="B38" s="3" t="s">
        <v>38</v>
      </c>
      <c r="C38" s="3" t="s">
        <v>39</v>
      </c>
      <c r="D38" s="3" t="s">
        <v>40</v>
      </c>
      <c r="E38" s="3" t="s">
        <v>268</v>
      </c>
      <c r="F38" s="3" t="s">
        <v>269</v>
      </c>
      <c r="G38" s="3" t="s">
        <v>270</v>
      </c>
      <c r="H38" s="3" t="s">
        <v>271</v>
      </c>
      <c r="I38" s="3" t="s">
        <v>245</v>
      </c>
      <c r="J38" s="3" t="s">
        <v>272</v>
      </c>
      <c r="K38" s="5" t="s">
        <v>273</v>
      </c>
      <c r="L38" s="5" t="s">
        <v>64</v>
      </c>
      <c r="M38" s="5" t="s">
        <v>274</v>
      </c>
      <c r="N38" s="3" t="s">
        <v>64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46162.77777777778</v>
      </c>
      <c r="V38" s="8">
        <v>46162.90277777778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6.9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</row>
    <row r="39" ht="18" customHeight="1" spans="1:38" x14ac:dyDescent="0.25">
      <c r="A39" s="3" t="s">
        <v>37</v>
      </c>
      <c r="B39" s="3" t="s">
        <v>38</v>
      </c>
      <c r="C39" s="3" t="s">
        <v>39</v>
      </c>
      <c r="D39" s="3" t="s">
        <v>40</v>
      </c>
      <c r="E39" s="3" t="s">
        <v>268</v>
      </c>
      <c r="F39" s="3" t="s">
        <v>275</v>
      </c>
      <c r="G39" s="3" t="s">
        <v>270</v>
      </c>
      <c r="H39" s="3" t="s">
        <v>276</v>
      </c>
      <c r="I39" s="3" t="s">
        <v>257</v>
      </c>
      <c r="J39" s="3" t="s">
        <v>272</v>
      </c>
      <c r="K39" s="5" t="s">
        <v>273</v>
      </c>
      <c r="L39" s="5" t="s">
        <v>64</v>
      </c>
      <c r="M39" s="5" t="s">
        <v>274</v>
      </c>
      <c r="N39" s="3" t="s">
        <v>64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46162.77777777778</v>
      </c>
      <c r="V39" s="8">
        <v>46162.90277777778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6.9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</row>
    <row r="40" ht="18" customHeight="1" spans="1:38" x14ac:dyDescent="0.25">
      <c r="A40" s="3" t="s">
        <v>37</v>
      </c>
      <c r="B40" s="3" t="s">
        <v>38</v>
      </c>
      <c r="C40" s="3" t="s">
        <v>39</v>
      </c>
      <c r="D40" s="3" t="s">
        <v>40</v>
      </c>
      <c r="E40" s="3" t="s">
        <v>41</v>
      </c>
      <c r="F40" s="3" t="s">
        <v>277</v>
      </c>
      <c r="G40" s="3" t="s">
        <v>278</v>
      </c>
      <c r="H40" s="3" t="s">
        <v>279</v>
      </c>
      <c r="I40" s="3" t="s">
        <v>280</v>
      </c>
      <c r="J40" s="3" t="s">
        <v>281</v>
      </c>
      <c r="K40" s="5" t="s">
        <v>282</v>
      </c>
      <c r="L40" s="5" t="s">
        <v>48</v>
      </c>
      <c r="M40" s="5" t="s">
        <v>283</v>
      </c>
      <c r="N40" s="3" t="s">
        <v>48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46163.3125</v>
      </c>
      <c r="V40" s="8">
        <v>46163.4375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7.35</v>
      </c>
      <c r="AB40" s="12">
        <f>Y40*Z40*24</f>
      </c>
      <c r="AC40" s="12">
        <f>S40*AA40</f>
      </c>
      <c r="AD40" s="12">
        <f>T40*AA40</f>
      </c>
      <c r="AE40" s="11">
        <v>735</v>
      </c>
      <c r="AF40" s="12">
        <v>0</v>
      </c>
      <c r="AG40" s="12">
        <f>SUM(AB40:AF40)</f>
      </c>
      <c r="AH40" s="3"/>
      <c r="AI40" s="3"/>
      <c r="AJ40" s="3"/>
      <c r="AK40" s="3"/>
      <c r="AL40" s="3"/>
    </row>
    <row r="41" ht="18" customHeight="1" spans="1:38" x14ac:dyDescent="0.25">
      <c r="A41" s="3" t="s">
        <v>37</v>
      </c>
      <c r="B41" s="3" t="s">
        <v>38</v>
      </c>
      <c r="C41" s="3" t="s">
        <v>39</v>
      </c>
      <c r="D41" s="3" t="s">
        <v>110</v>
      </c>
      <c r="E41" s="3" t="s">
        <v>57</v>
      </c>
      <c r="F41" s="3" t="s">
        <v>284</v>
      </c>
      <c r="G41" s="3" t="s">
        <v>285</v>
      </c>
      <c r="H41" s="3" t="s">
        <v>286</v>
      </c>
      <c r="I41" s="3" t="s">
        <v>257</v>
      </c>
      <c r="J41" s="3" t="s">
        <v>152</v>
      </c>
      <c r="K41" s="5" t="s">
        <v>63</v>
      </c>
      <c r="L41" s="5" t="s">
        <v>64</v>
      </c>
      <c r="M41" s="5" t="s">
        <v>65</v>
      </c>
      <c r="N41" s="4" t="s">
        <v>46</v>
      </c>
      <c r="O41" s="6">
        <v>0</v>
      </c>
      <c r="P41" s="6">
        <v>0</v>
      </c>
      <c r="Q41" s="6">
        <f>P41-O41</f>
      </c>
      <c r="R41" s="7">
        <v>100</v>
      </c>
      <c r="S41" s="6">
        <f>IF(Q41-R41&lt;0,"0",Q41-R41)</f>
      </c>
      <c r="T41" s="6">
        <v>0</v>
      </c>
      <c r="U41" s="8">
        <v>46163.08333333333</v>
      </c>
      <c r="V41" s="8">
        <v>46163.34375</v>
      </c>
      <c r="W41" s="9">
        <f>V41-U41</f>
      </c>
      <c r="X41" s="10">
        <v>0.125</v>
      </c>
      <c r="Y41" s="9">
        <f>IF(W41-X41&lt;0,"00:00:00",W41-X41)</f>
      </c>
      <c r="Z41" s="11">
        <v>145</v>
      </c>
      <c r="AA41" s="11">
        <v>6.9</v>
      </c>
      <c r="AB41" s="12">
        <f>Y41*Z41*24</f>
      </c>
      <c r="AC41" s="12">
        <f>S41*AA41</f>
      </c>
      <c r="AD41" s="12">
        <f>T41*AA41</f>
      </c>
      <c r="AE41" s="11">
        <v>690</v>
      </c>
      <c r="AF41" s="12">
        <v>35</v>
      </c>
      <c r="AG41" s="12">
        <f>SUM(AB41:AF41)</f>
      </c>
      <c r="AH41" s="3"/>
      <c r="AI41" s="3"/>
      <c r="AJ41" s="3"/>
      <c r="AK41" s="3"/>
      <c r="AL41" s="3"/>
    </row>
    <row r="42" ht="18" customHeight="1" spans="1:38" x14ac:dyDescent="0.25">
      <c r="A42" s="3" t="s">
        <v>37</v>
      </c>
      <c r="B42" s="3" t="s">
        <v>38</v>
      </c>
      <c r="C42" s="3" t="s">
        <v>39</v>
      </c>
      <c r="D42" s="3" t="s">
        <v>40</v>
      </c>
      <c r="E42" s="3" t="s">
        <v>116</v>
      </c>
      <c r="F42" s="3" t="s">
        <v>287</v>
      </c>
      <c r="G42" s="3" t="s">
        <v>288</v>
      </c>
      <c r="H42" s="3" t="s">
        <v>289</v>
      </c>
      <c r="I42" s="3" t="s">
        <v>290</v>
      </c>
      <c r="J42" s="3" t="s">
        <v>291</v>
      </c>
      <c r="K42" s="5" t="s">
        <v>135</v>
      </c>
      <c r="L42" s="5" t="s">
        <v>64</v>
      </c>
      <c r="M42" s="5" t="s">
        <v>222</v>
      </c>
      <c r="N42" s="3" t="s">
        <v>64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46163.20833333333</v>
      </c>
      <c r="V42" s="8">
        <v>46163.36388888889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6.9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</row>
    <row r="43" ht="18" customHeight="1" spans="1:38" x14ac:dyDescent="0.25">
      <c r="A43" s="3" t="s">
        <v>37</v>
      </c>
      <c r="B43" s="3" t="s">
        <v>38</v>
      </c>
      <c r="C43" s="3" t="s">
        <v>39</v>
      </c>
      <c r="D43" s="3" t="s">
        <v>110</v>
      </c>
      <c r="E43" s="3" t="s">
        <v>292</v>
      </c>
      <c r="F43" s="3" t="s">
        <v>293</v>
      </c>
      <c r="G43" s="3" t="s">
        <v>294</v>
      </c>
      <c r="H43" s="3" t="s">
        <v>295</v>
      </c>
      <c r="I43" s="3" t="s">
        <v>296</v>
      </c>
      <c r="J43" s="3" t="s">
        <v>297</v>
      </c>
      <c r="K43" s="5" t="s">
        <v>298</v>
      </c>
      <c r="L43" s="5" t="s">
        <v>115</v>
      </c>
      <c r="M43" s="5" t="s">
        <v>299</v>
      </c>
      <c r="N43" s="3" t="s">
        <v>101</v>
      </c>
      <c r="O43" s="6">
        <v>0</v>
      </c>
      <c r="P43" s="6">
        <v>0</v>
      </c>
      <c r="Q43" s="6">
        <f>P43-O43</f>
      </c>
      <c r="R43" s="7">
        <v>100</v>
      </c>
      <c r="S43" s="6">
        <f>IF(Q43-R43&lt;0,"0",Q43-R43)</f>
      </c>
      <c r="T43" s="6">
        <v>0</v>
      </c>
      <c r="U43" s="8">
        <v>46163.54166666667</v>
      </c>
      <c r="V43" s="8">
        <v>46163.66666666667</v>
      </c>
      <c r="W43" s="9">
        <f>V43-U43</f>
      </c>
      <c r="X43" s="10">
        <v>0.125</v>
      </c>
      <c r="Y43" s="9">
        <f>IF(W43-X43&lt;0,"00:00:00",W43-X43)</f>
      </c>
      <c r="Z43" s="11">
        <v>145</v>
      </c>
      <c r="AA43" s="11">
        <v>6.9</v>
      </c>
      <c r="AB43" s="12">
        <f>Y43*Z43*24</f>
      </c>
      <c r="AC43" s="12">
        <f>S43*AA43</f>
      </c>
      <c r="AD43" s="12">
        <f>T43*AA43</f>
      </c>
      <c r="AE43" s="11">
        <v>972.75</v>
      </c>
      <c r="AF43" s="12">
        <v>0</v>
      </c>
      <c r="AG43" s="12">
        <f>SUM(AB43:AF43)</f>
      </c>
      <c r="AH43" s="3"/>
      <c r="AI43" s="3"/>
      <c r="AJ43" s="3"/>
      <c r="AK43" s="3"/>
      <c r="AL43" s="3"/>
    </row>
    <row r="44" ht="18" customHeight="1" spans="1:38" x14ac:dyDescent="0.25">
      <c r="A44" s="3" t="s">
        <v>37</v>
      </c>
      <c r="B44" s="3" t="s">
        <v>38</v>
      </c>
      <c r="C44" s="3" t="s">
        <v>39</v>
      </c>
      <c r="D44" s="3" t="s">
        <v>40</v>
      </c>
      <c r="E44" s="3" t="s">
        <v>300</v>
      </c>
      <c r="F44" s="3" t="s">
        <v>301</v>
      </c>
      <c r="G44" s="3" t="s">
        <v>302</v>
      </c>
      <c r="H44" s="3" t="s">
        <v>303</v>
      </c>
      <c r="I44" s="3" t="s">
        <v>145</v>
      </c>
      <c r="J44" s="3" t="s">
        <v>304</v>
      </c>
      <c r="K44" s="5" t="s">
        <v>305</v>
      </c>
      <c r="L44" s="5" t="s">
        <v>64</v>
      </c>
      <c r="M44" s="5" t="s">
        <v>75</v>
      </c>
      <c r="N44" s="3" t="s">
        <v>64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46163.54166666667</v>
      </c>
      <c r="V44" s="8">
        <v>46163.66666666667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6.9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</row>
    <row r="45" ht="18" customHeight="1" spans="1:38" x14ac:dyDescent="0.25">
      <c r="A45" s="3" t="s">
        <v>37</v>
      </c>
      <c r="B45" s="3" t="s">
        <v>38</v>
      </c>
      <c r="C45" s="3" t="s">
        <v>39</v>
      </c>
      <c r="D45" s="3" t="s">
        <v>40</v>
      </c>
      <c r="E45" s="3" t="s">
        <v>306</v>
      </c>
      <c r="F45" s="3" t="s">
        <v>307</v>
      </c>
      <c r="G45" s="3" t="s">
        <v>308</v>
      </c>
      <c r="H45" s="3" t="s">
        <v>309</v>
      </c>
      <c r="I45" s="3" t="s">
        <v>226</v>
      </c>
      <c r="J45" s="3" t="s">
        <v>310</v>
      </c>
      <c r="K45" s="5" t="s">
        <v>311</v>
      </c>
      <c r="L45" s="5" t="s">
        <v>101</v>
      </c>
      <c r="M45" s="5" t="s">
        <v>312</v>
      </c>
      <c r="N45" s="4" t="s">
        <v>46</v>
      </c>
      <c r="O45" s="6">
        <v>251428</v>
      </c>
      <c r="P45" s="6">
        <v>251443</v>
      </c>
      <c r="Q45" s="6">
        <f>P45-O45</f>
      </c>
      <c r="R45" s="7">
        <v>100</v>
      </c>
      <c r="S45" s="6">
        <f>IF(Q45-R45&lt;0,"0",Q45-R45)</f>
      </c>
      <c r="T45" s="6">
        <v>0</v>
      </c>
      <c r="U45" s="8">
        <v>46163.54166666667</v>
      </c>
      <c r="V45" s="8">
        <v>46163.66666666667</v>
      </c>
      <c r="W45" s="9">
        <f>V45-U45</f>
      </c>
      <c r="X45" s="10">
        <v>0.125</v>
      </c>
      <c r="Y45" s="9">
        <f>IF(W45-X45&lt;0,"00:00:00",W45-X45)</f>
      </c>
      <c r="Z45" s="11">
        <v>145</v>
      </c>
      <c r="AA45" s="11">
        <v>7.35</v>
      </c>
      <c r="AB45" s="12">
        <f>Y45*Z45*24</f>
      </c>
      <c r="AC45" s="12">
        <f>S45*AA45</f>
      </c>
      <c r="AD45" s="12">
        <f>T45*AA45</f>
      </c>
      <c r="AE45" s="11">
        <v>735</v>
      </c>
      <c r="AF45" s="12">
        <v>0</v>
      </c>
      <c r="AG45" s="12">
        <f>SUM(AB45:AF45)</f>
      </c>
      <c r="AH45" s="3"/>
      <c r="AI45" s="3"/>
      <c r="AJ45" s="3"/>
      <c r="AK45" s="3"/>
      <c r="AL45" s="3"/>
    </row>
    <row r="46" ht="18" customHeight="1" spans="1:38" x14ac:dyDescent="0.25">
      <c r="A46" s="3" t="s">
        <v>37</v>
      </c>
      <c r="B46" s="3" t="s">
        <v>38</v>
      </c>
      <c r="C46" s="3" t="s">
        <v>39</v>
      </c>
      <c r="D46" s="3" t="s">
        <v>40</v>
      </c>
      <c r="E46" s="3" t="s">
        <v>313</v>
      </c>
      <c r="F46" s="3" t="s">
        <v>314</v>
      </c>
      <c r="G46" s="3" t="s">
        <v>315</v>
      </c>
      <c r="H46" s="3" t="s">
        <v>316</v>
      </c>
      <c r="I46" s="3" t="s">
        <v>317</v>
      </c>
      <c r="J46" s="3" t="s">
        <v>318</v>
      </c>
      <c r="K46" s="5" t="s">
        <v>319</v>
      </c>
      <c r="L46" s="5" t="s">
        <v>320</v>
      </c>
      <c r="M46" s="5" t="s">
        <v>321</v>
      </c>
      <c r="N46" s="3" t="s">
        <v>320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46163.72222222222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7.35</v>
      </c>
      <c r="AB46" s="12">
        <f>Y46*Z46*24</f>
      </c>
      <c r="AC46" s="12">
        <f>S46*AA46</f>
      </c>
      <c r="AD46" s="12">
        <f>T46*AA46</f>
      </c>
      <c r="AE46" s="11">
        <v>735</v>
      </c>
      <c r="AF46" s="12">
        <v>0</v>
      </c>
      <c r="AG46" s="12">
        <f>SUM(AB46:AF46)</f>
      </c>
      <c r="AH46" s="3"/>
      <c r="AI46" s="3"/>
      <c r="AJ46" s="3"/>
      <c r="AK46" s="3"/>
      <c r="AL46" s="3"/>
    </row>
    <row r="47" ht="18" customHeight="1" spans="1:38" x14ac:dyDescent="0.25">
      <c r="A47" s="3" t="s">
        <v>37</v>
      </c>
      <c r="B47" s="3" t="s">
        <v>38</v>
      </c>
      <c r="C47" s="3" t="s">
        <v>39</v>
      </c>
      <c r="D47" s="3" t="s">
        <v>40</v>
      </c>
      <c r="E47" s="3" t="s">
        <v>322</v>
      </c>
      <c r="F47" s="3" t="s">
        <v>323</v>
      </c>
      <c r="G47" s="3" t="s">
        <v>324</v>
      </c>
      <c r="H47" s="3" t="s">
        <v>325</v>
      </c>
      <c r="I47" s="3" t="s">
        <v>326</v>
      </c>
      <c r="J47" s="3" t="s">
        <v>327</v>
      </c>
      <c r="K47" s="5" t="s">
        <v>328</v>
      </c>
      <c r="L47" s="5" t="s">
        <v>329</v>
      </c>
      <c r="M47" s="5" t="s">
        <v>330</v>
      </c>
      <c r="N47" s="3" t="s">
        <v>329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46164.33333333333</v>
      </c>
      <c r="V47" s="8">
        <v>46164.45833333333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6.9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</row>
    <row r="48" ht="18" customHeight="1" spans="1:38" x14ac:dyDescent="0.25">
      <c r="A48" s="3" t="s">
        <v>37</v>
      </c>
      <c r="B48" s="3" t="s">
        <v>38</v>
      </c>
      <c r="C48" s="3" t="s">
        <v>39</v>
      </c>
      <c r="D48" s="3" t="s">
        <v>40</v>
      </c>
      <c r="E48" s="3" t="s">
        <v>148</v>
      </c>
      <c r="F48" s="3" t="s">
        <v>331</v>
      </c>
      <c r="G48" s="3" t="s">
        <v>332</v>
      </c>
      <c r="H48" s="3" t="s">
        <v>333</v>
      </c>
      <c r="I48" s="3" t="s">
        <v>334</v>
      </c>
      <c r="J48" s="3" t="s">
        <v>335</v>
      </c>
      <c r="K48" s="5" t="s">
        <v>336</v>
      </c>
      <c r="L48" s="5" t="s">
        <v>48</v>
      </c>
      <c r="M48" s="5" t="s">
        <v>337</v>
      </c>
      <c r="N48" s="3" t="s">
        <v>64</v>
      </c>
      <c r="O48" s="6">
        <v>381005</v>
      </c>
      <c r="P48" s="6">
        <v>381624</v>
      </c>
      <c r="Q48" s="6">
        <f>P48-O48</f>
      </c>
      <c r="R48" s="7">
        <v>600</v>
      </c>
      <c r="S48" s="6">
        <f>IF(Q48-R48&lt;0,"0",Q48-R48)</f>
      </c>
      <c r="T48" s="6">
        <v>0</v>
      </c>
      <c r="U48" s="8">
        <v>46163.77777777778</v>
      </c>
      <c r="V48" s="8">
        <v>46164.40277777778</v>
      </c>
      <c r="W48" s="9">
        <f>V48-U48</f>
      </c>
      <c r="X48" s="10">
        <v>0.625</v>
      </c>
      <c r="Y48" s="9">
        <f>IF(W48-X48&lt;0,"00:00:00",W48-X48)</f>
      </c>
      <c r="Z48" s="11">
        <v>145</v>
      </c>
      <c r="AA48" s="11">
        <v>7.35</v>
      </c>
      <c r="AB48" s="12">
        <f>Y48*Z48*24</f>
      </c>
      <c r="AC48" s="12">
        <f>S48*AA48</f>
      </c>
      <c r="AD48" s="12">
        <f>T48*AA48</f>
      </c>
      <c r="AE48" s="11">
        <v>4410</v>
      </c>
      <c r="AF48" s="12">
        <v>60</v>
      </c>
      <c r="AG48" s="12">
        <f>SUM(AB48:AF48)</f>
      </c>
      <c r="AH48" s="3"/>
      <c r="AI48" s="3"/>
      <c r="AJ48" s="3"/>
      <c r="AK48" s="3"/>
      <c r="AL48" s="3"/>
    </row>
    <row r="49" ht="18" customHeight="1" spans="1:38" x14ac:dyDescent="0.25">
      <c r="A49" s="3" t="s">
        <v>37</v>
      </c>
      <c r="B49" s="3" t="s">
        <v>38</v>
      </c>
      <c r="C49" s="3" t="s">
        <v>39</v>
      </c>
      <c r="D49" s="3" t="s">
        <v>40</v>
      </c>
      <c r="E49" s="3" t="s">
        <v>116</v>
      </c>
      <c r="F49" s="3" t="s">
        <v>338</v>
      </c>
      <c r="G49" s="3" t="s">
        <v>339</v>
      </c>
      <c r="H49" s="3" t="s">
        <v>340</v>
      </c>
      <c r="I49" s="3" t="s">
        <v>341</v>
      </c>
      <c r="J49" s="4" t="s">
        <v>46</v>
      </c>
      <c r="K49" s="5" t="s">
        <v>159</v>
      </c>
      <c r="L49" s="5" t="s">
        <v>64</v>
      </c>
      <c r="M49" s="5" t="s">
        <v>75</v>
      </c>
      <c r="N49" s="3" t="s">
        <v>64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46163.91666666667</v>
      </c>
      <c r="V49" s="8">
        <v>46164.04166666667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6.9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</row>
    <row r="50" ht="18" customHeight="1" spans="1:38" x14ac:dyDescent="0.25">
      <c r="A50" s="3" t="s">
        <v>37</v>
      </c>
      <c r="B50" s="3" t="s">
        <v>38</v>
      </c>
      <c r="C50" s="3" t="s">
        <v>39</v>
      </c>
      <c r="D50" s="3" t="s">
        <v>40</v>
      </c>
      <c r="E50" s="3" t="s">
        <v>148</v>
      </c>
      <c r="F50" s="3" t="s">
        <v>342</v>
      </c>
      <c r="G50" s="3" t="s">
        <v>332</v>
      </c>
      <c r="H50" s="3" t="s">
        <v>343</v>
      </c>
      <c r="I50" s="3" t="s">
        <v>280</v>
      </c>
      <c r="J50" s="3" t="s">
        <v>335</v>
      </c>
      <c r="K50" s="5" t="s">
        <v>336</v>
      </c>
      <c r="L50" s="5" t="s">
        <v>48</v>
      </c>
      <c r="M50" s="5" t="s">
        <v>337</v>
      </c>
      <c r="N50" s="3" t="s">
        <v>64</v>
      </c>
      <c r="O50" s="6">
        <v>312192</v>
      </c>
      <c r="P50" s="6">
        <v>312810</v>
      </c>
      <c r="Q50" s="6">
        <f>P50-O50</f>
      </c>
      <c r="R50" s="7">
        <v>600</v>
      </c>
      <c r="S50" s="6">
        <f>IF(Q50-R50&lt;0,"0",Q50-R50)</f>
      </c>
      <c r="T50" s="6">
        <v>0</v>
      </c>
      <c r="U50" s="8">
        <v>46163.77777777778</v>
      </c>
      <c r="V50" s="8">
        <v>46164.40277777778</v>
      </c>
      <c r="W50" s="9">
        <f>V50-U50</f>
      </c>
      <c r="X50" s="10">
        <v>0.625</v>
      </c>
      <c r="Y50" s="9">
        <f>IF(W50-X50&lt;0,"00:00:00",W50-X50)</f>
      </c>
      <c r="Z50" s="11">
        <v>145</v>
      </c>
      <c r="AA50" s="11">
        <v>7.35</v>
      </c>
      <c r="AB50" s="12">
        <f>Y50*Z50*24</f>
      </c>
      <c r="AC50" s="12">
        <f>S50*AA50</f>
      </c>
      <c r="AD50" s="12">
        <f>T50*AA50</f>
      </c>
      <c r="AE50" s="11">
        <v>4410</v>
      </c>
      <c r="AF50" s="12">
        <v>60</v>
      </c>
      <c r="AG50" s="12">
        <f>SUM(AB50:AF50)</f>
      </c>
      <c r="AH50" s="3"/>
      <c r="AI50" s="3"/>
      <c r="AJ50" s="3"/>
      <c r="AK50" s="3"/>
      <c r="AL50" s="3"/>
    </row>
    <row r="51" ht="18" customHeight="1" spans="1:38" x14ac:dyDescent="0.25">
      <c r="A51" s="3" t="s">
        <v>37</v>
      </c>
      <c r="B51" s="3" t="s">
        <v>38</v>
      </c>
      <c r="C51" s="3" t="s">
        <v>39</v>
      </c>
      <c r="D51" s="3" t="s">
        <v>110</v>
      </c>
      <c r="E51" s="3" t="s">
        <v>344</v>
      </c>
      <c r="F51" s="3" t="s">
        <v>345</v>
      </c>
      <c r="G51" s="4" t="s">
        <v>46</v>
      </c>
      <c r="H51" s="3" t="s">
        <v>346</v>
      </c>
      <c r="I51" s="3" t="s">
        <v>347</v>
      </c>
      <c r="J51" s="4" t="s">
        <v>46</v>
      </c>
      <c r="K51" s="5" t="s">
        <v>348</v>
      </c>
      <c r="L51" s="5" t="s">
        <v>115</v>
      </c>
      <c r="M51" s="5" t="s">
        <v>168</v>
      </c>
      <c r="N51" s="4" t="s">
        <v>46</v>
      </c>
      <c r="O51" s="6">
        <v>0</v>
      </c>
      <c r="P51" s="6">
        <v>0</v>
      </c>
      <c r="Q51" s="6">
        <f>P51-O51</f>
      </c>
      <c r="R51" s="7">
        <v>100</v>
      </c>
      <c r="S51" s="6">
        <f>IF(Q51-R51&lt;0,"0",Q51-R51)</f>
      </c>
      <c r="T51" s="6">
        <v>0</v>
      </c>
      <c r="U51" s="8">
        <v>46163.790972222225</v>
      </c>
      <c r="V51" s="8">
        <v>46163.915972222225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6.9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</row>
    <row r="52" ht="18" customHeight="1" spans="1:38" x14ac:dyDescent="0.25">
      <c r="A52" s="3" t="s">
        <v>37</v>
      </c>
      <c r="B52" s="3" t="s">
        <v>38</v>
      </c>
      <c r="C52" s="3" t="s">
        <v>39</v>
      </c>
      <c r="D52" s="3" t="s">
        <v>40</v>
      </c>
      <c r="E52" s="3" t="s">
        <v>349</v>
      </c>
      <c r="F52" s="3" t="s">
        <v>350</v>
      </c>
      <c r="G52" s="3" t="s">
        <v>351</v>
      </c>
      <c r="H52" s="3" t="s">
        <v>352</v>
      </c>
      <c r="I52" s="3" t="s">
        <v>353</v>
      </c>
      <c r="J52" s="3" t="s">
        <v>354</v>
      </c>
      <c r="K52" s="5" t="s">
        <v>355</v>
      </c>
      <c r="L52" s="5" t="s">
        <v>356</v>
      </c>
      <c r="M52" s="5" t="s">
        <v>357</v>
      </c>
      <c r="N52" s="3" t="s">
        <v>356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46164.29166666667</v>
      </c>
      <c r="V52" s="8">
        <v>46164.41666666667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6.9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</row>
    <row r="53" ht="18" customHeight="1" spans="1:38" x14ac:dyDescent="0.25">
      <c r="A53" s="3" t="s">
        <v>37</v>
      </c>
      <c r="B53" s="3" t="s">
        <v>38</v>
      </c>
      <c r="C53" s="3" t="s">
        <v>39</v>
      </c>
      <c r="D53" s="3" t="s">
        <v>40</v>
      </c>
      <c r="E53" s="3" t="s">
        <v>358</v>
      </c>
      <c r="F53" s="3" t="s">
        <v>359</v>
      </c>
      <c r="G53" s="3" t="s">
        <v>360</v>
      </c>
      <c r="H53" s="3" t="s">
        <v>361</v>
      </c>
      <c r="I53" s="3" t="s">
        <v>220</v>
      </c>
      <c r="J53" s="4" t="s">
        <v>46</v>
      </c>
      <c r="K53" s="5" t="s">
        <v>362</v>
      </c>
      <c r="L53" s="5" t="s">
        <v>115</v>
      </c>
      <c r="M53" s="5" t="s">
        <v>211</v>
      </c>
      <c r="N53" s="4" t="s">
        <v>46</v>
      </c>
      <c r="O53" s="6">
        <v>65365</v>
      </c>
      <c r="P53" s="6">
        <v>65505</v>
      </c>
      <c r="Q53" s="6">
        <f>P53-O53</f>
      </c>
      <c r="R53" s="7">
        <v>100</v>
      </c>
      <c r="S53" s="6">
        <f>IF(Q53-R53&lt;0,"0",Q53-R53)</f>
      </c>
      <c r="T53" s="6">
        <v>0</v>
      </c>
      <c r="U53" s="8">
        <v>46163.875</v>
      </c>
      <c r="V53" s="8">
        <v>46164</v>
      </c>
      <c r="W53" s="9">
        <f>V53-U53</f>
      </c>
      <c r="X53" s="10">
        <v>0.125</v>
      </c>
      <c r="Y53" s="9">
        <f>IF(W53-X53&lt;0,"00:00:00",W53-X53)</f>
      </c>
      <c r="Z53" s="11">
        <v>145</v>
      </c>
      <c r="AA53" s="11">
        <v>6.9</v>
      </c>
      <c r="AB53" s="12">
        <f>Y53*Z53*24</f>
      </c>
      <c r="AC53" s="12">
        <f>S53*AA53</f>
      </c>
      <c r="AD53" s="12">
        <f>T53*AA53</f>
      </c>
      <c r="AE53" s="11">
        <v>690</v>
      </c>
      <c r="AF53" s="12">
        <v>25</v>
      </c>
      <c r="AG53" s="12">
        <f>SUM(AB53:AF53)</f>
      </c>
      <c r="AH53" s="3"/>
      <c r="AI53" s="3"/>
      <c r="AJ53" s="3"/>
      <c r="AK53" s="3"/>
      <c r="AL53" s="3"/>
    </row>
    <row r="54" ht="18" customHeight="1" spans="1:38" x14ac:dyDescent="0.25">
      <c r="A54" s="3" t="s">
        <v>37</v>
      </c>
      <c r="B54" s="3" t="s">
        <v>38</v>
      </c>
      <c r="C54" s="3" t="s">
        <v>39</v>
      </c>
      <c r="D54" s="3" t="s">
        <v>40</v>
      </c>
      <c r="E54" s="3" t="s">
        <v>358</v>
      </c>
      <c r="F54" s="3" t="s">
        <v>363</v>
      </c>
      <c r="G54" s="3" t="s">
        <v>364</v>
      </c>
      <c r="H54" s="3" t="s">
        <v>365</v>
      </c>
      <c r="I54" s="3" t="s">
        <v>257</v>
      </c>
      <c r="J54" s="4" t="s">
        <v>46</v>
      </c>
      <c r="K54" s="5" t="s">
        <v>366</v>
      </c>
      <c r="L54" s="13" t="s">
        <v>46</v>
      </c>
      <c r="M54" s="5" t="s">
        <v>211</v>
      </c>
      <c r="N54" s="4" t="s">
        <v>46</v>
      </c>
      <c r="O54" s="6">
        <v>80635</v>
      </c>
      <c r="P54" s="6">
        <v>80757</v>
      </c>
      <c r="Q54" s="6">
        <f>P54-O54</f>
      </c>
      <c r="R54" s="7">
        <v>100</v>
      </c>
      <c r="S54" s="6">
        <f>IF(Q54-R54&lt;0,"0",Q54-R54)</f>
      </c>
      <c r="T54" s="6">
        <v>0</v>
      </c>
      <c r="U54" s="8">
        <v>46163.89236111111</v>
      </c>
      <c r="V54" s="8">
        <v>46164.01736111111</v>
      </c>
      <c r="W54" s="9">
        <f>V54-U54</f>
      </c>
      <c r="X54" s="10">
        <v>0.125</v>
      </c>
      <c r="Y54" s="9">
        <f>IF(W54-X54&lt;0,"00:00:00",W54-X54)</f>
      </c>
      <c r="Z54" s="11">
        <v>145</v>
      </c>
      <c r="AA54" s="11">
        <v>6.9</v>
      </c>
      <c r="AB54" s="12">
        <f>Y54*Z54*24</f>
      </c>
      <c r="AC54" s="12">
        <f>S54*AA54</f>
      </c>
      <c r="AD54" s="12">
        <f>T54*AA54</f>
      </c>
      <c r="AE54" s="11">
        <v>690</v>
      </c>
      <c r="AF54" s="12">
        <v>25</v>
      </c>
      <c r="AG54" s="12">
        <f>SUM(AB54:AF54)</f>
      </c>
      <c r="AH54" s="3"/>
      <c r="AI54" s="3"/>
      <c r="AJ54" s="3"/>
      <c r="AK54" s="3"/>
      <c r="AL54" s="3"/>
    </row>
    <row r="55" ht="18" customHeight="1" spans="1:38" x14ac:dyDescent="0.25">
      <c r="A55" s="3" t="s">
        <v>37</v>
      </c>
      <c r="B55" s="3" t="s">
        <v>38</v>
      </c>
      <c r="C55" s="3" t="s">
        <v>39</v>
      </c>
      <c r="D55" s="3" t="s">
        <v>40</v>
      </c>
      <c r="E55" s="3" t="s">
        <v>116</v>
      </c>
      <c r="F55" s="3" t="s">
        <v>367</v>
      </c>
      <c r="G55" s="3" t="s">
        <v>368</v>
      </c>
      <c r="H55" s="3" t="s">
        <v>369</v>
      </c>
      <c r="I55" s="3" t="s">
        <v>257</v>
      </c>
      <c r="J55" s="3" t="s">
        <v>370</v>
      </c>
      <c r="K55" s="5" t="s">
        <v>371</v>
      </c>
      <c r="L55" s="5" t="s">
        <v>64</v>
      </c>
      <c r="M55" s="5" t="s">
        <v>168</v>
      </c>
      <c r="N55" s="4" t="s">
        <v>46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46164.625</v>
      </c>
      <c r="V55" s="8">
        <v>46164.75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6.9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</row>
    <row r="56" ht="18" customHeight="1" spans="1:38" x14ac:dyDescent="0.25">
      <c r="A56" s="3" t="s">
        <v>37</v>
      </c>
      <c r="B56" s="3" t="s">
        <v>38</v>
      </c>
      <c r="C56" s="3" t="s">
        <v>39</v>
      </c>
      <c r="D56" s="3" t="s">
        <v>40</v>
      </c>
      <c r="E56" s="3" t="s">
        <v>372</v>
      </c>
      <c r="F56" s="3" t="s">
        <v>373</v>
      </c>
      <c r="G56" s="3" t="s">
        <v>374</v>
      </c>
      <c r="H56" s="3" t="s">
        <v>375</v>
      </c>
      <c r="I56" s="3" t="s">
        <v>376</v>
      </c>
      <c r="J56" s="4" t="s">
        <v>46</v>
      </c>
      <c r="K56" s="5" t="s">
        <v>377</v>
      </c>
      <c r="L56" s="5" t="s">
        <v>83</v>
      </c>
      <c r="M56" s="5" t="s">
        <v>65</v>
      </c>
      <c r="N56" s="4" t="s">
        <v>46</v>
      </c>
      <c r="O56" s="6">
        <v>52227</v>
      </c>
      <c r="P56" s="6">
        <v>52427</v>
      </c>
      <c r="Q56" s="6">
        <f>P56-O56</f>
      </c>
      <c r="R56" s="7">
        <v>200</v>
      </c>
      <c r="S56" s="6">
        <f>IF(Q56-R56&lt;0,"0",Q56-R56)</f>
      </c>
      <c r="T56" s="6">
        <v>0</v>
      </c>
      <c r="U56" s="8">
        <v>46163.92361111111</v>
      </c>
      <c r="V56" s="8">
        <v>46164.131944444445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6.9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</row>
    <row r="57" ht="18" customHeight="1" spans="1:38" x14ac:dyDescent="0.25">
      <c r="A57" s="3" t="s">
        <v>37</v>
      </c>
      <c r="B57" s="3" t="s">
        <v>38</v>
      </c>
      <c r="C57" s="3" t="s">
        <v>39</v>
      </c>
      <c r="D57" s="3" t="s">
        <v>40</v>
      </c>
      <c r="E57" s="3" t="s">
        <v>378</v>
      </c>
      <c r="F57" s="3" t="s">
        <v>379</v>
      </c>
      <c r="G57" s="3" t="s">
        <v>380</v>
      </c>
      <c r="H57" s="3" t="s">
        <v>381</v>
      </c>
      <c r="I57" s="3" t="s">
        <v>341</v>
      </c>
      <c r="J57" s="3" t="s">
        <v>382</v>
      </c>
      <c r="K57" s="5" t="s">
        <v>75</v>
      </c>
      <c r="L57" s="5" t="s">
        <v>64</v>
      </c>
      <c r="M57" s="5" t="s">
        <v>383</v>
      </c>
      <c r="N57" s="3" t="s">
        <v>235</v>
      </c>
      <c r="O57" s="6">
        <v>14166</v>
      </c>
      <c r="P57" s="6">
        <v>15201</v>
      </c>
      <c r="Q57" s="6">
        <f>P57-O57</f>
      </c>
      <c r="R57" s="7">
        <v>1000</v>
      </c>
      <c r="S57" s="6">
        <f>IF(Q57-R57&lt;0,"0",Q57-R57)</f>
      </c>
      <c r="T57" s="6">
        <v>0</v>
      </c>
      <c r="U57" s="8">
        <v>46164.04166666667</v>
      </c>
      <c r="V57" s="8">
        <v>46165.08333333333</v>
      </c>
      <c r="W57" s="9">
        <f>V57-U57</f>
      </c>
      <c r="X57" s="10">
        <v>1.0416666666666667</v>
      </c>
      <c r="Y57" s="9">
        <f>IF(W57-X57&lt;0,"00:00:00",W57-X57)</f>
      </c>
      <c r="Z57" s="11">
        <v>145</v>
      </c>
      <c r="AA57" s="11">
        <v>6.9</v>
      </c>
      <c r="AB57" s="12">
        <f>Y57*Z57*24</f>
      </c>
      <c r="AC57" s="12">
        <f>S57*AA57</f>
      </c>
      <c r="AD57" s="12">
        <f>T57*AA57</f>
      </c>
      <c r="AE57" s="11">
        <v>6900</v>
      </c>
      <c r="AF57" s="12">
        <v>189.71</v>
      </c>
      <c r="AG57" s="12">
        <f>SUM(AB57:AF57)</f>
      </c>
      <c r="AH57" s="3"/>
      <c r="AI57" s="3"/>
      <c r="AJ57" s="3"/>
      <c r="AK57" s="3"/>
      <c r="AL57" s="3"/>
    </row>
    <row r="58" ht="18" customHeight="1" spans="1:38" x14ac:dyDescent="0.25">
      <c r="A58" s="3" t="s">
        <v>37</v>
      </c>
      <c r="B58" s="3" t="s">
        <v>38</v>
      </c>
      <c r="C58" s="3" t="s">
        <v>39</v>
      </c>
      <c r="D58" s="3" t="s">
        <v>110</v>
      </c>
      <c r="E58" s="3" t="s">
        <v>57</v>
      </c>
      <c r="F58" s="3" t="s">
        <v>384</v>
      </c>
      <c r="G58" s="3" t="s">
        <v>385</v>
      </c>
      <c r="H58" s="3" t="s">
        <v>386</v>
      </c>
      <c r="I58" s="3" t="s">
        <v>106</v>
      </c>
      <c r="J58" s="3" t="s">
        <v>387</v>
      </c>
      <c r="K58" s="5" t="s">
        <v>75</v>
      </c>
      <c r="L58" s="5" t="s">
        <v>64</v>
      </c>
      <c r="M58" s="5" t="s">
        <v>65</v>
      </c>
      <c r="N58" s="4" t="s">
        <v>46</v>
      </c>
      <c r="O58" s="6">
        <v>0</v>
      </c>
      <c r="P58" s="6">
        <v>0</v>
      </c>
      <c r="Q58" s="6">
        <f>P58-O58</f>
      </c>
      <c r="R58" s="7">
        <v>100</v>
      </c>
      <c r="S58" s="6">
        <f>IF(Q58-R58&lt;0,"0",Q58-R58)</f>
      </c>
      <c r="T58" s="6">
        <v>0</v>
      </c>
      <c r="U58" s="8">
        <v>46164.04166666667</v>
      </c>
      <c r="V58" s="8">
        <v>46164.16666666667</v>
      </c>
      <c r="W58" s="9">
        <f>V58-U58</f>
      </c>
      <c r="X58" s="10">
        <v>0.125</v>
      </c>
      <c r="Y58" s="9">
        <f>IF(W58-X58&lt;0,"00:00:00",W58-X58)</f>
      </c>
      <c r="Z58" s="11">
        <v>145</v>
      </c>
      <c r="AA58" s="11">
        <v>6.9</v>
      </c>
      <c r="AB58" s="12">
        <f>Y58*Z58*24</f>
      </c>
      <c r="AC58" s="12">
        <f>S58*AA58</f>
      </c>
      <c r="AD58" s="12">
        <f>T58*AA58</f>
      </c>
      <c r="AE58" s="11">
        <v>690</v>
      </c>
      <c r="AF58" s="12">
        <v>0</v>
      </c>
      <c r="AG58" s="12">
        <f>SUM(AB58:AF58)</f>
      </c>
      <c r="AH58" s="3"/>
      <c r="AI58" s="3"/>
      <c r="AJ58" s="3"/>
      <c r="AK58" s="3"/>
      <c r="AL58" s="3"/>
    </row>
    <row r="59" ht="18" customHeight="1" spans="1:38" x14ac:dyDescent="0.25">
      <c r="A59" s="3" t="s">
        <v>37</v>
      </c>
      <c r="B59" s="3" t="s">
        <v>38</v>
      </c>
      <c r="C59" s="3" t="s">
        <v>39</v>
      </c>
      <c r="D59" s="3" t="s">
        <v>40</v>
      </c>
      <c r="E59" s="3" t="s">
        <v>116</v>
      </c>
      <c r="F59" s="3" t="s">
        <v>388</v>
      </c>
      <c r="G59" s="3" t="s">
        <v>389</v>
      </c>
      <c r="H59" s="3" t="s">
        <v>390</v>
      </c>
      <c r="I59" s="3" t="s">
        <v>220</v>
      </c>
      <c r="J59" s="3" t="s">
        <v>391</v>
      </c>
      <c r="K59" s="5" t="s">
        <v>75</v>
      </c>
      <c r="L59" s="5" t="s">
        <v>64</v>
      </c>
      <c r="M59" s="5" t="s">
        <v>222</v>
      </c>
      <c r="N59" s="3" t="s">
        <v>64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46164.20833333333</v>
      </c>
      <c r="V59" s="8">
        <v>46164.53125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6.9</v>
      </c>
      <c r="AB59" s="12">
        <f>Y59*Z59*24</f>
      </c>
      <c r="AC59" s="12">
        <f>S59*AA59</f>
      </c>
      <c r="AD59" s="12">
        <f>T59*AA59</f>
      </c>
      <c r="AE59" s="11">
        <v>690.0000000000001</v>
      </c>
      <c r="AF59" s="12">
        <v>5.9</v>
      </c>
      <c r="AG59" s="12">
        <f>SUM(AB59:AF59)</f>
      </c>
      <c r="AH59" s="3"/>
      <c r="AI59" s="3"/>
      <c r="AJ59" s="3"/>
      <c r="AK59" s="3"/>
      <c r="AL59" s="3"/>
    </row>
    <row r="60" ht="18" customHeight="1" spans="1:38" x14ac:dyDescent="0.25">
      <c r="A60" s="3" t="s">
        <v>37</v>
      </c>
      <c r="B60" s="3" t="s">
        <v>38</v>
      </c>
      <c r="C60" s="3" t="s">
        <v>39</v>
      </c>
      <c r="D60" s="3" t="s">
        <v>40</v>
      </c>
      <c r="E60" s="3" t="s">
        <v>94</v>
      </c>
      <c r="F60" s="3" t="s">
        <v>392</v>
      </c>
      <c r="G60" s="3" t="s">
        <v>393</v>
      </c>
      <c r="H60" s="3" t="s">
        <v>394</v>
      </c>
      <c r="I60" s="3" t="s">
        <v>395</v>
      </c>
      <c r="J60" s="3" t="s">
        <v>396</v>
      </c>
      <c r="K60" s="5" t="s">
        <v>397</v>
      </c>
      <c r="L60" s="5" t="s">
        <v>101</v>
      </c>
      <c r="M60" s="5" t="s">
        <v>398</v>
      </c>
      <c r="N60" s="3" t="s">
        <v>101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46164.29166666667</v>
      </c>
      <c r="V60" s="8">
        <v>46164.41666666667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7.35</v>
      </c>
      <c r="AB60" s="12">
        <f>Y60*Z60*24</f>
      </c>
      <c r="AC60" s="12">
        <f>S60*AA60</f>
      </c>
      <c r="AD60" s="12">
        <f>T60*AA60</f>
      </c>
      <c r="AE60" s="11">
        <v>735</v>
      </c>
      <c r="AF60" s="12">
        <v>0</v>
      </c>
      <c r="AG60" s="12">
        <f>SUM(AB60:AF60)</f>
      </c>
      <c r="AH60" s="3"/>
      <c r="AI60" s="3"/>
      <c r="AJ60" s="3"/>
      <c r="AK60" s="3"/>
      <c r="AL60" s="3"/>
    </row>
    <row r="61" ht="18" customHeight="1" spans="1:38" x14ac:dyDescent="0.25">
      <c r="A61" s="3" t="s">
        <v>37</v>
      </c>
      <c r="B61" s="3" t="s">
        <v>38</v>
      </c>
      <c r="C61" s="3" t="s">
        <v>39</v>
      </c>
      <c r="D61" s="3" t="s">
        <v>40</v>
      </c>
      <c r="E61" s="3" t="s">
        <v>94</v>
      </c>
      <c r="F61" s="3" t="s">
        <v>399</v>
      </c>
      <c r="G61" s="3" t="s">
        <v>400</v>
      </c>
      <c r="H61" s="3" t="s">
        <v>401</v>
      </c>
      <c r="I61" s="3" t="s">
        <v>402</v>
      </c>
      <c r="J61" s="3" t="s">
        <v>403</v>
      </c>
      <c r="K61" s="5" t="s">
        <v>397</v>
      </c>
      <c r="L61" s="5" t="s">
        <v>101</v>
      </c>
      <c r="M61" s="5" t="s">
        <v>404</v>
      </c>
      <c r="N61" s="4" t="s">
        <v>46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46164.25</v>
      </c>
      <c r="V61" s="8">
        <v>46164.413888888885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7.35</v>
      </c>
      <c r="AB61" s="12">
        <f>Y61*Z61*24</f>
      </c>
      <c r="AC61" s="12">
        <f>S61*AA61</f>
      </c>
      <c r="AD61" s="12">
        <f>T61*AA61</f>
      </c>
      <c r="AE61" s="11">
        <v>735</v>
      </c>
      <c r="AF61" s="12">
        <v>0</v>
      </c>
      <c r="AG61" s="12">
        <f>SUM(AB61:AF61)</f>
      </c>
      <c r="AH61" s="3"/>
      <c r="AI61" s="3"/>
      <c r="AJ61" s="3"/>
      <c r="AK61" s="3"/>
      <c r="AL61" s="3"/>
    </row>
    <row r="62" ht="18" customHeight="1" spans="1:38" x14ac:dyDescent="0.25">
      <c r="A62" s="3" t="s">
        <v>37</v>
      </c>
      <c r="B62" s="3" t="s">
        <v>38</v>
      </c>
      <c r="C62" s="3" t="s">
        <v>39</v>
      </c>
      <c r="D62" s="3" t="s">
        <v>40</v>
      </c>
      <c r="E62" s="3" t="s">
        <v>405</v>
      </c>
      <c r="F62" s="3" t="s">
        <v>406</v>
      </c>
      <c r="G62" s="3" t="s">
        <v>407</v>
      </c>
      <c r="H62" s="3" t="s">
        <v>408</v>
      </c>
      <c r="I62" s="3" t="s">
        <v>409</v>
      </c>
      <c r="J62" s="3" t="s">
        <v>410</v>
      </c>
      <c r="K62" s="5" t="s">
        <v>159</v>
      </c>
      <c r="L62" s="5" t="s">
        <v>64</v>
      </c>
      <c r="M62" s="5" t="s">
        <v>411</v>
      </c>
      <c r="N62" s="3" t="s">
        <v>101</v>
      </c>
      <c r="O62" s="6">
        <v>10096</v>
      </c>
      <c r="P62" s="6">
        <v>11332</v>
      </c>
      <c r="Q62" s="6">
        <f>P62-O62</f>
      </c>
      <c r="R62" s="7">
        <v>1200</v>
      </c>
      <c r="S62" s="6">
        <f>IF(Q62-R62&lt;0,"0",Q62-R62)</f>
      </c>
      <c r="T62" s="6">
        <v>0</v>
      </c>
      <c r="U62" s="8">
        <v>46164.53472222222</v>
      </c>
      <c r="V62" s="8">
        <v>46167.43541666667</v>
      </c>
      <c r="W62" s="9">
        <f>V62-U62</f>
      </c>
      <c r="X62" s="10">
        <v>1.25</v>
      </c>
      <c r="Y62" s="9">
        <f>IF(W62-X62&lt;0,"00:00:00",W62-X62)</f>
      </c>
      <c r="Z62" s="11">
        <v>145</v>
      </c>
      <c r="AA62" s="11">
        <v>6.9</v>
      </c>
      <c r="AB62" s="12">
        <f>Y62*Z62*24</f>
      </c>
      <c r="AC62" s="12">
        <f>S62*AA62</f>
      </c>
      <c r="AD62" s="12">
        <f>T62*AA62</f>
      </c>
      <c r="AE62" s="11">
        <v>8280</v>
      </c>
      <c r="AF62" s="12">
        <v>160.9</v>
      </c>
      <c r="AG62" s="12">
        <f>SUM(AB62:AF62)</f>
      </c>
      <c r="AH62" s="3"/>
      <c r="AI62" s="3"/>
      <c r="AJ62" s="3"/>
      <c r="AK62" s="3"/>
      <c r="AL62" s="3"/>
    </row>
    <row r="63" ht="18" customHeight="1" spans="1:38" x14ac:dyDescent="0.25">
      <c r="A63" s="3" t="s">
        <v>37</v>
      </c>
      <c r="B63" s="3" t="s">
        <v>38</v>
      </c>
      <c r="C63" s="3" t="s">
        <v>39</v>
      </c>
      <c r="D63" s="3" t="s">
        <v>40</v>
      </c>
      <c r="E63" s="3" t="s">
        <v>94</v>
      </c>
      <c r="F63" s="3" t="s">
        <v>412</v>
      </c>
      <c r="G63" s="3" t="s">
        <v>413</v>
      </c>
      <c r="H63" s="3" t="s">
        <v>414</v>
      </c>
      <c r="I63" s="3" t="s">
        <v>415</v>
      </c>
      <c r="J63" s="3" t="s">
        <v>403</v>
      </c>
      <c r="K63" s="5" t="s">
        <v>416</v>
      </c>
      <c r="L63" s="5" t="s">
        <v>101</v>
      </c>
      <c r="M63" s="5" t="s">
        <v>311</v>
      </c>
      <c r="N63" s="3" t="s">
        <v>101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46164.5625</v>
      </c>
      <c r="V63" s="8">
        <v>46164.72916666667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7.35</v>
      </c>
      <c r="AB63" s="12">
        <f>Y63*Z63*24</f>
      </c>
      <c r="AC63" s="12">
        <f>S63*AA63</f>
      </c>
      <c r="AD63" s="12">
        <f>T63*AA63</f>
      </c>
      <c r="AE63" s="11">
        <v>735</v>
      </c>
      <c r="AF63" s="12">
        <v>0</v>
      </c>
      <c r="AG63" s="12">
        <f>SUM(AB63:AF63)</f>
      </c>
      <c r="AH63" s="3"/>
      <c r="AI63" s="3"/>
      <c r="AJ63" s="3"/>
      <c r="AK63" s="3"/>
      <c r="AL63" s="3"/>
    </row>
    <row r="64" ht="18" customHeight="1" spans="1:38" x14ac:dyDescent="0.25">
      <c r="A64" s="3" t="s">
        <v>37</v>
      </c>
      <c r="B64" s="3" t="s">
        <v>38</v>
      </c>
      <c r="C64" s="3" t="s">
        <v>39</v>
      </c>
      <c r="D64" s="3" t="s">
        <v>40</v>
      </c>
      <c r="E64" s="3" t="s">
        <v>94</v>
      </c>
      <c r="F64" s="3" t="s">
        <v>417</v>
      </c>
      <c r="G64" s="3" t="s">
        <v>413</v>
      </c>
      <c r="H64" s="3" t="s">
        <v>418</v>
      </c>
      <c r="I64" s="3" t="s">
        <v>395</v>
      </c>
      <c r="J64" s="3" t="s">
        <v>403</v>
      </c>
      <c r="K64" s="5" t="s">
        <v>416</v>
      </c>
      <c r="L64" s="5" t="s">
        <v>101</v>
      </c>
      <c r="M64" s="5" t="s">
        <v>311</v>
      </c>
      <c r="N64" s="3" t="s">
        <v>101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46164.5625</v>
      </c>
      <c r="V64" s="8">
        <v>46164.72916666667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7.35</v>
      </c>
      <c r="AB64" s="12">
        <f>Y64*Z64*24</f>
      </c>
      <c r="AC64" s="12">
        <f>S64*AA64</f>
      </c>
      <c r="AD64" s="12">
        <f>T64*AA64</f>
      </c>
      <c r="AE64" s="11">
        <v>735</v>
      </c>
      <c r="AF64" s="12">
        <v>0</v>
      </c>
      <c r="AG64" s="12">
        <f>SUM(AB64:AF64)</f>
      </c>
      <c r="AH64" s="3"/>
      <c r="AI64" s="3"/>
      <c r="AJ64" s="3"/>
      <c r="AK64" s="3"/>
      <c r="AL64" s="3"/>
    </row>
    <row r="65" ht="18" customHeight="1" spans="1:38" x14ac:dyDescent="0.25">
      <c r="A65" s="3" t="s">
        <v>37</v>
      </c>
      <c r="B65" s="3" t="s">
        <v>38</v>
      </c>
      <c r="C65" s="3" t="s">
        <v>39</v>
      </c>
      <c r="D65" s="3" t="s">
        <v>40</v>
      </c>
      <c r="E65" s="3" t="s">
        <v>405</v>
      </c>
      <c r="F65" s="3" t="s">
        <v>419</v>
      </c>
      <c r="G65" s="3" t="s">
        <v>420</v>
      </c>
      <c r="H65" s="3" t="s">
        <v>421</v>
      </c>
      <c r="I65" s="3" t="s">
        <v>422</v>
      </c>
      <c r="J65" s="3" t="s">
        <v>423</v>
      </c>
      <c r="K65" s="5" t="s">
        <v>159</v>
      </c>
      <c r="L65" s="5" t="s">
        <v>64</v>
      </c>
      <c r="M65" s="5" t="s">
        <v>424</v>
      </c>
      <c r="N65" s="3" t="s">
        <v>101</v>
      </c>
      <c r="O65" s="6">
        <v>3295</v>
      </c>
      <c r="P65" s="6">
        <v>4461</v>
      </c>
      <c r="Q65" s="6">
        <f>P65-O65</f>
      </c>
      <c r="R65" s="7">
        <v>1200</v>
      </c>
      <c r="S65" s="6">
        <f>IF(Q65-R65&lt;0,"0",Q65-R65)</f>
      </c>
      <c r="T65" s="6">
        <v>0</v>
      </c>
      <c r="U65" s="8">
        <v>46165.22916666667</v>
      </c>
      <c r="V65" s="8">
        <v>46167.44375</v>
      </c>
      <c r="W65" s="9">
        <f>V65-U65</f>
      </c>
      <c r="X65" s="10">
        <v>1.25</v>
      </c>
      <c r="Y65" s="9">
        <f>IF(W65-X65&lt;0,"00:00:00",W65-X65)</f>
      </c>
      <c r="Z65" s="11">
        <v>145</v>
      </c>
      <c r="AA65" s="11">
        <v>6.9</v>
      </c>
      <c r="AB65" s="12">
        <f>Y65*Z65*24</f>
      </c>
      <c r="AC65" s="12">
        <f>S65*AA65</f>
      </c>
      <c r="AD65" s="12">
        <f>T65*AA65</f>
      </c>
      <c r="AE65" s="11">
        <v>8280</v>
      </c>
      <c r="AF65" s="12">
        <v>138.5</v>
      </c>
      <c r="AG65" s="12">
        <f>SUM(AB65:AF65)</f>
      </c>
      <c r="AH65" s="3"/>
      <c r="AI65" s="3"/>
      <c r="AJ65" s="3"/>
      <c r="AK65" s="3"/>
      <c r="AL65" s="3"/>
    </row>
    <row r="66" ht="18" customHeight="1" spans="1:38" x14ac:dyDescent="0.25">
      <c r="A66" s="3" t="s">
        <v>37</v>
      </c>
      <c r="B66" s="3" t="s">
        <v>38</v>
      </c>
      <c r="C66" s="3" t="s">
        <v>39</v>
      </c>
      <c r="D66" s="3" t="s">
        <v>40</v>
      </c>
      <c r="E66" s="3" t="s">
        <v>57</v>
      </c>
      <c r="F66" s="3" t="s">
        <v>425</v>
      </c>
      <c r="G66" s="3" t="s">
        <v>426</v>
      </c>
      <c r="H66" s="3" t="s">
        <v>427</v>
      </c>
      <c r="I66" s="3" t="s">
        <v>257</v>
      </c>
      <c r="J66" s="3" t="s">
        <v>428</v>
      </c>
      <c r="K66" s="5" t="s">
        <v>75</v>
      </c>
      <c r="L66" s="5" t="s">
        <v>64</v>
      </c>
      <c r="M66" s="5" t="s">
        <v>65</v>
      </c>
      <c r="N66" s="4" t="s">
        <v>46</v>
      </c>
      <c r="O66" s="6">
        <v>81074</v>
      </c>
      <c r="P66" s="6">
        <v>81274</v>
      </c>
      <c r="Q66" s="6">
        <f>P66-O66</f>
      </c>
      <c r="R66" s="7">
        <v>200</v>
      </c>
      <c r="S66" s="6">
        <f>IF(Q66-R66&lt;0,"0",Q66-R66)</f>
      </c>
      <c r="T66" s="6">
        <v>0</v>
      </c>
      <c r="U66" s="8">
        <v>46164.89583333333</v>
      </c>
      <c r="V66" s="8">
        <v>46165.10416666667</v>
      </c>
      <c r="W66" s="9">
        <f>V66-U66</f>
      </c>
      <c r="X66" s="10">
        <v>0.20833333333333334</v>
      </c>
      <c r="Y66" s="9">
        <f>IF(W66-X66&lt;0,"00:00:00",W66-X66)</f>
      </c>
      <c r="Z66" s="11">
        <v>145</v>
      </c>
      <c r="AA66" s="11">
        <v>6.9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</row>
    <row r="67" ht="18" customHeight="1" spans="1:38" x14ac:dyDescent="0.25">
      <c r="A67" s="3" t="s">
        <v>37</v>
      </c>
      <c r="B67" s="3" t="s">
        <v>38</v>
      </c>
      <c r="C67" s="3" t="s">
        <v>39</v>
      </c>
      <c r="D67" s="3" t="s">
        <v>40</v>
      </c>
      <c r="E67" s="3" t="s">
        <v>429</v>
      </c>
      <c r="F67" s="3" t="s">
        <v>430</v>
      </c>
      <c r="G67" s="3" t="s">
        <v>431</v>
      </c>
      <c r="H67" s="3" t="s">
        <v>432</v>
      </c>
      <c r="I67" s="3" t="s">
        <v>433</v>
      </c>
      <c r="J67" s="3" t="s">
        <v>434</v>
      </c>
      <c r="K67" s="5" t="s">
        <v>435</v>
      </c>
      <c r="L67" s="5" t="s">
        <v>83</v>
      </c>
      <c r="M67" s="5" t="s">
        <v>93</v>
      </c>
      <c r="N67" s="4" t="s">
        <v>46</v>
      </c>
      <c r="O67" s="6">
        <v>66916</v>
      </c>
      <c r="P67" s="6">
        <v>67216</v>
      </c>
      <c r="Q67" s="6">
        <f>P67-O67</f>
      </c>
      <c r="R67" s="7">
        <v>300</v>
      </c>
      <c r="S67" s="6">
        <f>IF(Q67-R67&lt;0,"0",Q67-R67)</f>
      </c>
      <c r="T67" s="6">
        <v>0</v>
      </c>
      <c r="U67" s="8">
        <v>46164.97916666667</v>
      </c>
      <c r="V67" s="8">
        <v>46165.3125</v>
      </c>
      <c r="W67" s="9">
        <f>V67-U67</f>
      </c>
      <c r="X67" s="10">
        <v>0.3333333333333333</v>
      </c>
      <c r="Y67" s="9">
        <f>IF(W67-X67&lt;0,"00:00:00",W67-X67)</f>
      </c>
      <c r="Z67" s="11">
        <v>145</v>
      </c>
      <c r="AA67" s="11">
        <v>6.9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</row>
    <row r="68" ht="18" customHeight="1" spans="1:38" x14ac:dyDescent="0.25">
      <c r="A68" s="3" t="s">
        <v>37</v>
      </c>
      <c r="B68" s="3" t="s">
        <v>38</v>
      </c>
      <c r="C68" s="3" t="s">
        <v>39</v>
      </c>
      <c r="D68" s="3" t="s">
        <v>40</v>
      </c>
      <c r="E68" s="3" t="s">
        <v>372</v>
      </c>
      <c r="F68" s="3" t="s">
        <v>436</v>
      </c>
      <c r="G68" s="3" t="s">
        <v>437</v>
      </c>
      <c r="H68" s="3" t="s">
        <v>438</v>
      </c>
      <c r="I68" s="3" t="s">
        <v>439</v>
      </c>
      <c r="J68" s="3" t="s">
        <v>440</v>
      </c>
      <c r="K68" s="5" t="s">
        <v>435</v>
      </c>
      <c r="L68" s="5" t="s">
        <v>83</v>
      </c>
      <c r="M68" s="5" t="s">
        <v>65</v>
      </c>
      <c r="N68" s="4" t="s">
        <v>46</v>
      </c>
      <c r="O68" s="6">
        <v>64404</v>
      </c>
      <c r="P68" s="6">
        <v>64604</v>
      </c>
      <c r="Q68" s="6">
        <f>P68-O68</f>
      </c>
      <c r="R68" s="7">
        <v>200</v>
      </c>
      <c r="S68" s="6">
        <f>IF(Q68-R68&lt;0,"0",Q68-R68)</f>
      </c>
      <c r="T68" s="6">
        <v>0</v>
      </c>
      <c r="U68" s="8">
        <v>46164.95833333333</v>
      </c>
      <c r="V68" s="8">
        <v>46165.16666666667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6.9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</row>
    <row r="69" ht="18" customHeight="1" spans="1:38" x14ac:dyDescent="0.25">
      <c r="A69" s="3" t="s">
        <v>37</v>
      </c>
      <c r="B69" s="3" t="s">
        <v>38</v>
      </c>
      <c r="C69" s="3" t="s">
        <v>39</v>
      </c>
      <c r="D69" s="3" t="s">
        <v>40</v>
      </c>
      <c r="E69" s="3" t="s">
        <v>344</v>
      </c>
      <c r="F69" s="3" t="s">
        <v>441</v>
      </c>
      <c r="G69" s="3" t="s">
        <v>442</v>
      </c>
      <c r="H69" s="3" t="s">
        <v>443</v>
      </c>
      <c r="I69" s="3" t="s">
        <v>444</v>
      </c>
      <c r="J69" s="3" t="s">
        <v>445</v>
      </c>
      <c r="K69" s="5" t="s">
        <v>446</v>
      </c>
      <c r="L69" s="5" t="s">
        <v>115</v>
      </c>
      <c r="M69" s="5" t="s">
        <v>65</v>
      </c>
      <c r="N69" s="4" t="s">
        <v>46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46164.97916666667</v>
      </c>
      <c r="V69" s="8">
        <v>46165.5</v>
      </c>
      <c r="W69" s="9">
        <f>V69-U69</f>
      </c>
      <c r="X69" s="10">
        <v>0.20833333333333334</v>
      </c>
      <c r="Y69" s="9">
        <f>IF(W69-X69&lt;0,"00:00:00",W69-X69)</f>
      </c>
      <c r="Z69" s="11">
        <v>145</v>
      </c>
      <c r="AA69" s="11">
        <v>6.9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</row>
    <row r="70" ht="18" customHeight="1" spans="1:38" x14ac:dyDescent="0.25">
      <c r="A70" s="3" t="s">
        <v>37</v>
      </c>
      <c r="B70" s="3" t="s">
        <v>38</v>
      </c>
      <c r="C70" s="3" t="s">
        <v>39</v>
      </c>
      <c r="D70" s="3" t="s">
        <v>40</v>
      </c>
      <c r="E70" s="3" t="s">
        <v>57</v>
      </c>
      <c r="F70" s="3" t="s">
        <v>447</v>
      </c>
      <c r="G70" s="3" t="s">
        <v>448</v>
      </c>
      <c r="H70" s="3" t="s">
        <v>449</v>
      </c>
      <c r="I70" s="3" t="s">
        <v>450</v>
      </c>
      <c r="J70" s="4" t="s">
        <v>46</v>
      </c>
      <c r="K70" s="5" t="s">
        <v>63</v>
      </c>
      <c r="L70" s="5" t="s">
        <v>64</v>
      </c>
      <c r="M70" s="5" t="s">
        <v>65</v>
      </c>
      <c r="N70" s="4" t="s">
        <v>46</v>
      </c>
      <c r="O70" s="6">
        <v>345411</v>
      </c>
      <c r="P70" s="6">
        <v>345611</v>
      </c>
      <c r="Q70" s="6">
        <f>P70-O70</f>
      </c>
      <c r="R70" s="7">
        <v>200</v>
      </c>
      <c r="S70" s="6">
        <f>IF(Q70-R70&lt;0,"0",Q70-R70)</f>
      </c>
      <c r="T70" s="6">
        <v>0</v>
      </c>
      <c r="U70" s="8">
        <v>46165.04166666667</v>
      </c>
      <c r="V70" s="8">
        <v>46165.25</v>
      </c>
      <c r="W70" s="9">
        <f>V70-U70</f>
      </c>
      <c r="X70" s="10">
        <v>0.20833333333333334</v>
      </c>
      <c r="Y70" s="9">
        <f>IF(W70-X70&lt;0,"00:00:00",W70-X70)</f>
      </c>
      <c r="Z70" s="11">
        <v>145</v>
      </c>
      <c r="AA70" s="11">
        <v>6.9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</row>
    <row r="71" ht="18" customHeight="1" spans="1:38" x14ac:dyDescent="0.25">
      <c r="A71" s="3" t="s">
        <v>37</v>
      </c>
      <c r="B71" s="3" t="s">
        <v>38</v>
      </c>
      <c r="C71" s="3" t="s">
        <v>39</v>
      </c>
      <c r="D71" s="3" t="s">
        <v>40</v>
      </c>
      <c r="E71" s="3" t="s">
        <v>57</v>
      </c>
      <c r="F71" s="3" t="s">
        <v>451</v>
      </c>
      <c r="G71" s="3" t="s">
        <v>452</v>
      </c>
      <c r="H71" s="3" t="s">
        <v>453</v>
      </c>
      <c r="I71" s="3" t="s">
        <v>341</v>
      </c>
      <c r="J71" s="3" t="s">
        <v>454</v>
      </c>
      <c r="K71" s="5" t="s">
        <v>63</v>
      </c>
      <c r="L71" s="5" t="s">
        <v>64</v>
      </c>
      <c r="M71" s="5" t="s">
        <v>65</v>
      </c>
      <c r="N71" s="4" t="s">
        <v>46</v>
      </c>
      <c r="O71" s="6">
        <v>16235</v>
      </c>
      <c r="P71" s="6">
        <v>16435</v>
      </c>
      <c r="Q71" s="6">
        <f>P71-O71</f>
      </c>
      <c r="R71" s="7">
        <v>200</v>
      </c>
      <c r="S71" s="6">
        <f>IF(Q71-R71&lt;0,"0",Q71-R71)</f>
      </c>
      <c r="T71" s="6">
        <v>0</v>
      </c>
      <c r="U71" s="8">
        <v>46166.41666666667</v>
      </c>
      <c r="V71" s="8">
        <v>46166.625</v>
      </c>
      <c r="W71" s="9">
        <f>V71-U71</f>
      </c>
      <c r="X71" s="10">
        <v>0.20833333333333334</v>
      </c>
      <c r="Y71" s="9">
        <f>IF(W71-X71&lt;0,"00:00:00",W71-X71)</f>
      </c>
      <c r="Z71" s="11">
        <v>145</v>
      </c>
      <c r="AA71" s="11">
        <v>6.9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</row>
    <row r="72" ht="18" customHeight="1" spans="1:38" x14ac:dyDescent="0.25">
      <c r="A72" s="3" t="s">
        <v>37</v>
      </c>
      <c r="B72" s="3" t="s">
        <v>38</v>
      </c>
      <c r="C72" s="3" t="s">
        <v>39</v>
      </c>
      <c r="D72" s="3" t="s">
        <v>40</v>
      </c>
      <c r="E72" s="3" t="s">
        <v>455</v>
      </c>
      <c r="F72" s="3" t="s">
        <v>456</v>
      </c>
      <c r="G72" s="3" t="s">
        <v>457</v>
      </c>
      <c r="H72" s="3" t="s">
        <v>458</v>
      </c>
      <c r="I72" s="3" t="s">
        <v>459</v>
      </c>
      <c r="J72" s="3" t="s">
        <v>460</v>
      </c>
      <c r="K72" s="5" t="s">
        <v>461</v>
      </c>
      <c r="L72" s="5" t="s">
        <v>115</v>
      </c>
      <c r="M72" s="5" t="s">
        <v>446</v>
      </c>
      <c r="N72" s="3" t="s">
        <v>115</v>
      </c>
      <c r="O72" s="6">
        <v>262413</v>
      </c>
      <c r="P72" s="6">
        <v>262616</v>
      </c>
      <c r="Q72" s="6">
        <f>P72-O72</f>
      </c>
      <c r="R72" s="7">
        <v>200</v>
      </c>
      <c r="S72" s="6">
        <f>IF(Q72-R72&lt;0,"0",Q72-R72)</f>
      </c>
      <c r="T72" s="6">
        <v>0</v>
      </c>
      <c r="U72" s="8">
        <v>46165.20833333333</v>
      </c>
      <c r="V72" s="8">
        <v>46165.41666666667</v>
      </c>
      <c r="W72" s="9">
        <f>V72-U72</f>
      </c>
      <c r="X72" s="10">
        <v>0.20833333333333334</v>
      </c>
      <c r="Y72" s="9">
        <f>IF(W72-X72&lt;0,"00:00:00",W72-X72)</f>
      </c>
      <c r="Z72" s="11">
        <v>145</v>
      </c>
      <c r="AA72" s="11">
        <v>6.9</v>
      </c>
      <c r="AB72" s="12">
        <f>Y72*Z72*24</f>
      </c>
      <c r="AC72" s="12">
        <f>S72*AA72</f>
      </c>
      <c r="AD72" s="12">
        <f>T72*AA72</f>
      </c>
      <c r="AE72" s="11">
        <v>1380</v>
      </c>
      <c r="AF72" s="12">
        <v>35</v>
      </c>
      <c r="AG72" s="12">
        <f>SUM(AB72:AF72)</f>
      </c>
      <c r="AH72" s="3"/>
      <c r="AI72" s="3"/>
      <c r="AJ72" s="3"/>
      <c r="AK72" s="3"/>
      <c r="AL72" s="3"/>
    </row>
    <row r="73" ht="18" customHeight="1" spans="1:38" x14ac:dyDescent="0.25">
      <c r="A73" s="3" t="s">
        <v>37</v>
      </c>
      <c r="B73" s="3" t="s">
        <v>38</v>
      </c>
      <c r="C73" s="3" t="s">
        <v>39</v>
      </c>
      <c r="D73" s="3" t="s">
        <v>40</v>
      </c>
      <c r="E73" s="3" t="s">
        <v>116</v>
      </c>
      <c r="F73" s="3" t="s">
        <v>462</v>
      </c>
      <c r="G73" s="3" t="s">
        <v>463</v>
      </c>
      <c r="H73" s="3" t="s">
        <v>464</v>
      </c>
      <c r="I73" s="3" t="s">
        <v>257</v>
      </c>
      <c r="J73" s="3" t="s">
        <v>465</v>
      </c>
      <c r="K73" s="5" t="s">
        <v>108</v>
      </c>
      <c r="L73" s="5" t="s">
        <v>64</v>
      </c>
      <c r="M73" s="5" t="s">
        <v>135</v>
      </c>
      <c r="N73" s="3" t="s">
        <v>64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46165.66666666667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6.9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</row>
    <row r="74" ht="18" customHeight="1" spans="1:38" x14ac:dyDescent="0.25">
      <c r="A74" s="3" t="s">
        <v>37</v>
      </c>
      <c r="B74" s="3" t="s">
        <v>38</v>
      </c>
      <c r="C74" s="3" t="s">
        <v>39</v>
      </c>
      <c r="D74" s="3" t="s">
        <v>40</v>
      </c>
      <c r="E74" s="3" t="s">
        <v>57</v>
      </c>
      <c r="F74" s="3" t="s">
        <v>466</v>
      </c>
      <c r="G74" s="3" t="s">
        <v>467</v>
      </c>
      <c r="H74" s="3" t="s">
        <v>468</v>
      </c>
      <c r="I74" s="3" t="s">
        <v>469</v>
      </c>
      <c r="J74" s="3" t="s">
        <v>470</v>
      </c>
      <c r="K74" s="5" t="s">
        <v>75</v>
      </c>
      <c r="L74" s="5" t="s">
        <v>64</v>
      </c>
      <c r="M74" s="5" t="s">
        <v>65</v>
      </c>
      <c r="N74" s="4" t="s">
        <v>46</v>
      </c>
      <c r="O74" s="6">
        <v>78293</v>
      </c>
      <c r="P74" s="6">
        <v>78493</v>
      </c>
      <c r="Q74" s="6">
        <f>P74-O74</f>
      </c>
      <c r="R74" s="7">
        <v>200</v>
      </c>
      <c r="S74" s="6">
        <f>IF(Q74-R74&lt;0,"0",Q74-R74)</f>
      </c>
      <c r="T74" s="6">
        <v>0</v>
      </c>
      <c r="U74" s="8">
        <v>46165.72916666667</v>
      </c>
      <c r="V74" s="8">
        <v>46165.964583333334</v>
      </c>
      <c r="W74" s="9">
        <f>V74-U74</f>
      </c>
      <c r="X74" s="10">
        <v>0.20833333333333334</v>
      </c>
      <c r="Y74" s="9">
        <f>IF(W74-X74&lt;0,"00:00:00",W74-X74)</f>
      </c>
      <c r="Z74" s="11">
        <v>145</v>
      </c>
      <c r="AA74" s="11">
        <v>6.9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</row>
    <row r="75" ht="18" customHeight="1" spans="1:38" x14ac:dyDescent="0.25">
      <c r="A75" s="3" t="s">
        <v>37</v>
      </c>
      <c r="B75" s="3" t="s">
        <v>38</v>
      </c>
      <c r="C75" s="3" t="s">
        <v>39</v>
      </c>
      <c r="D75" s="3" t="s">
        <v>40</v>
      </c>
      <c r="E75" s="3" t="s">
        <v>471</v>
      </c>
      <c r="F75" s="3" t="s">
        <v>472</v>
      </c>
      <c r="G75" s="3" t="s">
        <v>473</v>
      </c>
      <c r="H75" s="3" t="s">
        <v>474</v>
      </c>
      <c r="I75" s="3" t="s">
        <v>257</v>
      </c>
      <c r="J75" s="3" t="s">
        <v>475</v>
      </c>
      <c r="K75" s="5" t="s">
        <v>159</v>
      </c>
      <c r="L75" s="5" t="s">
        <v>64</v>
      </c>
      <c r="M75" s="5" t="s">
        <v>476</v>
      </c>
      <c r="N75" s="3" t="s">
        <v>115</v>
      </c>
      <c r="O75" s="6">
        <v>81746</v>
      </c>
      <c r="P75" s="6">
        <v>82921</v>
      </c>
      <c r="Q75" s="6">
        <f>P75-O75</f>
      </c>
      <c r="R75" s="7">
        <v>1200</v>
      </c>
      <c r="S75" s="6">
        <f>IF(Q75-R75&lt;0,"0",Q75-R75)</f>
      </c>
      <c r="T75" s="6">
        <v>0</v>
      </c>
      <c r="U75" s="8">
        <v>46165.75833333333</v>
      </c>
      <c r="V75" s="8">
        <v>46167.356944444444</v>
      </c>
      <c r="W75" s="9">
        <f>V75-U75</f>
      </c>
      <c r="X75" s="10">
        <v>1.25</v>
      </c>
      <c r="Y75" s="9">
        <f>IF(W75-X75&lt;0,"00:00:00",W75-X75)</f>
      </c>
      <c r="Z75" s="11">
        <v>145</v>
      </c>
      <c r="AA75" s="11">
        <v>6.9</v>
      </c>
      <c r="AB75" s="12">
        <f>Y75*Z75*24</f>
      </c>
      <c r="AC75" s="12">
        <f>S75*AA75</f>
      </c>
      <c r="AD75" s="12">
        <f>T75*AA75</f>
      </c>
      <c r="AE75" s="11">
        <v>8280</v>
      </c>
      <c r="AF75" s="12">
        <v>29.6</v>
      </c>
      <c r="AG75" s="12">
        <f>SUM(AB75:AF75)</f>
      </c>
      <c r="AH75" s="3"/>
      <c r="AI75" s="3"/>
      <c r="AJ75" s="3"/>
      <c r="AK75" s="3"/>
      <c r="AL75" s="3"/>
    </row>
    <row r="76" ht="18" customHeight="1" spans="1:38" x14ac:dyDescent="0.25">
      <c r="A76" s="3" t="s">
        <v>37</v>
      </c>
      <c r="B76" s="3" t="s">
        <v>38</v>
      </c>
      <c r="C76" s="3" t="s">
        <v>39</v>
      </c>
      <c r="D76" s="3" t="s">
        <v>110</v>
      </c>
      <c r="E76" s="3" t="s">
        <v>57</v>
      </c>
      <c r="F76" s="3" t="s">
        <v>477</v>
      </c>
      <c r="G76" s="4" t="s">
        <v>46</v>
      </c>
      <c r="H76" s="3" t="s">
        <v>478</v>
      </c>
      <c r="I76" s="3" t="s">
        <v>479</v>
      </c>
      <c r="J76" s="4" t="s">
        <v>46</v>
      </c>
      <c r="K76" s="5" t="s">
        <v>159</v>
      </c>
      <c r="L76" s="5" t="s">
        <v>64</v>
      </c>
      <c r="M76" s="5" t="s">
        <v>65</v>
      </c>
      <c r="N76" s="4" t="s">
        <v>46</v>
      </c>
      <c r="O76" s="6">
        <v>0</v>
      </c>
      <c r="P76" s="6">
        <v>0</v>
      </c>
      <c r="Q76" s="6">
        <f>P76-O76</f>
      </c>
      <c r="R76" s="7">
        <v>100</v>
      </c>
      <c r="S76" s="6">
        <f>IF(Q76-R76&lt;0,"0",Q76-R76)</f>
      </c>
      <c r="T76" s="6">
        <v>0</v>
      </c>
      <c r="U76" s="8">
        <v>46166.16666666667</v>
      </c>
      <c r="V76" s="8">
        <v>46166.370833333334</v>
      </c>
      <c r="W76" s="9">
        <f>V76-U76</f>
      </c>
      <c r="X76" s="10">
        <v>0.125</v>
      </c>
      <c r="Y76" s="9">
        <f>IF(W76-X76&lt;0,"00:00:00",W76-X76)</f>
      </c>
      <c r="Z76" s="11">
        <v>145</v>
      </c>
      <c r="AA76" s="11">
        <v>6.9</v>
      </c>
      <c r="AB76" s="12">
        <f>Y76*Z76*24</f>
      </c>
      <c r="AC76" s="12">
        <f>S76*AA76</f>
      </c>
      <c r="AD76" s="12">
        <f>T76*AA76</f>
      </c>
      <c r="AE76" s="11">
        <v>620</v>
      </c>
      <c r="AF76" s="12">
        <v>70</v>
      </c>
      <c r="AG76" s="12">
        <f>SUM(AB76:AF76)</f>
      </c>
      <c r="AH76" s="3"/>
      <c r="AI76" s="3"/>
      <c r="AJ76" s="3"/>
      <c r="AK76" s="3"/>
      <c r="AL76" s="3"/>
    </row>
    <row r="77" ht="18" customHeight="1" spans="1:38" x14ac:dyDescent="0.25">
      <c r="A77" s="3" t="s">
        <v>37</v>
      </c>
      <c r="B77" s="3" t="s">
        <v>38</v>
      </c>
      <c r="C77" s="3" t="s">
        <v>39</v>
      </c>
      <c r="D77" s="3" t="s">
        <v>40</v>
      </c>
      <c r="E77" s="3" t="s">
        <v>57</v>
      </c>
      <c r="F77" s="3" t="s">
        <v>480</v>
      </c>
      <c r="G77" s="3" t="s">
        <v>481</v>
      </c>
      <c r="H77" s="3" t="s">
        <v>482</v>
      </c>
      <c r="I77" s="3" t="s">
        <v>483</v>
      </c>
      <c r="J77" s="4" t="s">
        <v>46</v>
      </c>
      <c r="K77" s="5" t="s">
        <v>159</v>
      </c>
      <c r="L77" s="5" t="s">
        <v>64</v>
      </c>
      <c r="M77" s="5" t="s">
        <v>65</v>
      </c>
      <c r="N77" s="4" t="s">
        <v>46</v>
      </c>
      <c r="O77" s="6">
        <v>118936</v>
      </c>
      <c r="P77" s="6">
        <v>119136</v>
      </c>
      <c r="Q77" s="6">
        <f>P77-O77</f>
      </c>
      <c r="R77" s="7">
        <v>200</v>
      </c>
      <c r="S77" s="6">
        <f>IF(Q77-R77&lt;0,"0",Q77-R77)</f>
      </c>
      <c r="T77" s="6">
        <v>0</v>
      </c>
      <c r="U77" s="8">
        <v>46166.20833333333</v>
      </c>
      <c r="V77" s="8">
        <v>46166.41666666667</v>
      </c>
      <c r="W77" s="9">
        <f>V77-U77</f>
      </c>
      <c r="X77" s="10">
        <v>0.20833333333333334</v>
      </c>
      <c r="Y77" s="9">
        <f>IF(W77-X77&lt;0,"00:00:00",W77-X77)</f>
      </c>
      <c r="Z77" s="11">
        <v>145</v>
      </c>
      <c r="AA77" s="11">
        <v>6.9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</row>
    <row r="78" ht="18" customHeight="1" spans="1:38" x14ac:dyDescent="0.25">
      <c r="A78" s="3" t="s">
        <v>37</v>
      </c>
      <c r="B78" s="3" t="s">
        <v>38</v>
      </c>
      <c r="C78" s="3" t="s">
        <v>39</v>
      </c>
      <c r="D78" s="3" t="s">
        <v>40</v>
      </c>
      <c r="E78" s="3" t="s">
        <v>405</v>
      </c>
      <c r="F78" s="3" t="s">
        <v>484</v>
      </c>
      <c r="G78" s="3" t="s">
        <v>485</v>
      </c>
      <c r="H78" s="3" t="s">
        <v>486</v>
      </c>
      <c r="I78" s="3" t="s">
        <v>487</v>
      </c>
      <c r="J78" s="3" t="s">
        <v>488</v>
      </c>
      <c r="K78" s="5" t="s">
        <v>159</v>
      </c>
      <c r="L78" s="5" t="s">
        <v>64</v>
      </c>
      <c r="M78" s="5" t="s">
        <v>424</v>
      </c>
      <c r="N78" s="3" t="s">
        <v>101</v>
      </c>
      <c r="O78" s="6">
        <v>221488</v>
      </c>
      <c r="P78" s="6">
        <v>222671</v>
      </c>
      <c r="Q78" s="6">
        <f>P78-O78</f>
      </c>
      <c r="R78" s="7">
        <v>1200</v>
      </c>
      <c r="S78" s="6">
        <f>IF(Q78-R78&lt;0,"0",Q78-R78)</f>
      </c>
      <c r="T78" s="6">
        <v>0</v>
      </c>
      <c r="U78" s="8">
        <v>46165.834027777775</v>
      </c>
      <c r="V78" s="8">
        <v>46167.38055555556</v>
      </c>
      <c r="W78" s="9">
        <f>V78-U78</f>
      </c>
      <c r="X78" s="10">
        <v>1.25</v>
      </c>
      <c r="Y78" s="9">
        <f>IF(W78-X78&lt;0,"00:00:00",W78-X78)</f>
      </c>
      <c r="Z78" s="11">
        <v>145</v>
      </c>
      <c r="AA78" s="11">
        <v>6.9</v>
      </c>
      <c r="AB78" s="12">
        <f>Y78*Z78*24</f>
      </c>
      <c r="AC78" s="12">
        <f>S78*AA78</f>
      </c>
      <c r="AD78" s="12">
        <f>T78*AA78</f>
      </c>
      <c r="AE78" s="11">
        <v>8280</v>
      </c>
      <c r="AF78" s="12">
        <v>138.5</v>
      </c>
      <c r="AG78" s="12">
        <f>SUM(AB78:AF78)</f>
      </c>
      <c r="AH78" s="3"/>
      <c r="AI78" s="3"/>
      <c r="AJ78" s="3"/>
      <c r="AK78" s="3"/>
      <c r="AL78" s="3"/>
    </row>
    <row r="79" ht="18" customHeight="1" spans="1:38" x14ac:dyDescent="0.25">
      <c r="A79" s="3" t="s">
        <v>37</v>
      </c>
      <c r="B79" s="3" t="s">
        <v>38</v>
      </c>
      <c r="C79" s="3" t="s">
        <v>39</v>
      </c>
      <c r="D79" s="3" t="s">
        <v>40</v>
      </c>
      <c r="E79" s="3" t="s">
        <v>57</v>
      </c>
      <c r="F79" s="3" t="s">
        <v>489</v>
      </c>
      <c r="G79" s="3" t="s">
        <v>490</v>
      </c>
      <c r="H79" s="3" t="s">
        <v>491</v>
      </c>
      <c r="I79" s="3" t="s">
        <v>341</v>
      </c>
      <c r="J79" s="3" t="s">
        <v>492</v>
      </c>
      <c r="K79" s="5" t="s">
        <v>63</v>
      </c>
      <c r="L79" s="5" t="s">
        <v>64</v>
      </c>
      <c r="M79" s="5" t="s">
        <v>65</v>
      </c>
      <c r="N79" s="4" t="s">
        <v>46</v>
      </c>
      <c r="O79" s="6">
        <v>78707</v>
      </c>
      <c r="P79" s="6">
        <v>78784</v>
      </c>
      <c r="Q79" s="6">
        <f>P79-O79</f>
      </c>
      <c r="R79" s="7">
        <v>100</v>
      </c>
      <c r="S79" s="6">
        <f>IF(Q79-R79&lt;0,"0",Q79-R79)</f>
      </c>
      <c r="T79" s="6">
        <v>0</v>
      </c>
      <c r="U79" s="8">
        <v>46166.75</v>
      </c>
      <c r="V79" s="8">
        <v>46166.92916666667</v>
      </c>
      <c r="W79" s="9">
        <f>V79-U79</f>
      </c>
      <c r="X79" s="10">
        <v>0.125</v>
      </c>
      <c r="Y79" s="9">
        <f>IF(W79-X79&lt;0,"00:00:00",W79-X79)</f>
      </c>
      <c r="Z79" s="11">
        <v>145</v>
      </c>
      <c r="AA79" s="11">
        <v>6.9</v>
      </c>
      <c r="AB79" s="12">
        <f>Y79*Z79*24</f>
      </c>
      <c r="AC79" s="12">
        <f>S79*AA79</f>
      </c>
      <c r="AD79" s="12">
        <f>T79*AA79</f>
      </c>
      <c r="AE79" s="11">
        <v>687.58</v>
      </c>
      <c r="AF79" s="12">
        <v>10.9</v>
      </c>
      <c r="AG79" s="12">
        <f>SUM(AB79:AF79)</f>
      </c>
      <c r="AH79" s="3"/>
      <c r="AI79" s="3"/>
      <c r="AJ79" s="3"/>
      <c r="AK79" s="3"/>
      <c r="AL79" s="3"/>
    </row>
    <row r="80" ht="18" customHeight="1" spans="1:38" x14ac:dyDescent="0.25">
      <c r="A80" s="3" t="s">
        <v>37</v>
      </c>
      <c r="B80" s="3" t="s">
        <v>38</v>
      </c>
      <c r="C80" s="3" t="s">
        <v>39</v>
      </c>
      <c r="D80" s="3" t="s">
        <v>110</v>
      </c>
      <c r="E80" s="3" t="s">
        <v>148</v>
      </c>
      <c r="F80" s="3" t="s">
        <v>493</v>
      </c>
      <c r="G80" s="4" t="s">
        <v>46</v>
      </c>
      <c r="H80" s="3" t="s">
        <v>494</v>
      </c>
      <c r="I80" s="3" t="s">
        <v>495</v>
      </c>
      <c r="J80" s="3" t="s">
        <v>496</v>
      </c>
      <c r="K80" s="5" t="s">
        <v>497</v>
      </c>
      <c r="L80" s="5" t="s">
        <v>48</v>
      </c>
      <c r="M80" s="5" t="s">
        <v>109</v>
      </c>
      <c r="N80" s="3" t="s">
        <v>64</v>
      </c>
      <c r="O80" s="6">
        <v>0</v>
      </c>
      <c r="P80" s="6">
        <v>0</v>
      </c>
      <c r="Q80" s="6">
        <f>P80-O80</f>
      </c>
      <c r="R80" s="7">
        <v>100</v>
      </c>
      <c r="S80" s="6">
        <f>IF(Q80-R80&lt;0,"0",Q80-R80)</f>
      </c>
      <c r="T80" s="6">
        <v>0</v>
      </c>
      <c r="U80" s="8">
        <v>46166.75</v>
      </c>
      <c r="V80" s="8">
        <v>46166.875</v>
      </c>
      <c r="W80" s="9">
        <f>V80-U80</f>
      </c>
      <c r="X80" s="10">
        <v>0.125</v>
      </c>
      <c r="Y80" s="9">
        <f>IF(W80-X80&lt;0,"00:00:00",W80-X80)</f>
      </c>
      <c r="Z80" s="11">
        <v>145</v>
      </c>
      <c r="AA80" s="11">
        <v>7.35</v>
      </c>
      <c r="AB80" s="12">
        <f>Y80*Z80*24</f>
      </c>
      <c r="AC80" s="12">
        <f>S80*AA80</f>
      </c>
      <c r="AD80" s="12">
        <f>T80*AA80</f>
      </c>
      <c r="AE80" s="11">
        <v>735</v>
      </c>
      <c r="AF80" s="12">
        <v>0</v>
      </c>
      <c r="AG80" s="12">
        <f>SUM(AB80:AF80)</f>
      </c>
      <c r="AH80" s="3"/>
      <c r="AI80" s="3"/>
      <c r="AJ80" s="3"/>
      <c r="AK80" s="3"/>
      <c r="AL80" s="3"/>
    </row>
    <row r="81" ht="18" customHeight="1" spans="1:38" x14ac:dyDescent="0.25">
      <c r="A81" s="3" t="s">
        <v>37</v>
      </c>
      <c r="B81" s="3" t="s">
        <v>38</v>
      </c>
      <c r="C81" s="3" t="s">
        <v>39</v>
      </c>
      <c r="D81" s="3" t="s">
        <v>40</v>
      </c>
      <c r="E81" s="3" t="s">
        <v>471</v>
      </c>
      <c r="F81" s="3" t="s">
        <v>498</v>
      </c>
      <c r="G81" s="3" t="s">
        <v>499</v>
      </c>
      <c r="H81" s="3" t="s">
        <v>500</v>
      </c>
      <c r="I81" s="3" t="s">
        <v>188</v>
      </c>
      <c r="J81" s="3" t="s">
        <v>501</v>
      </c>
      <c r="K81" s="5" t="s">
        <v>159</v>
      </c>
      <c r="L81" s="5" t="s">
        <v>64</v>
      </c>
      <c r="M81" s="5" t="s">
        <v>476</v>
      </c>
      <c r="N81" s="3" t="s">
        <v>115</v>
      </c>
      <c r="O81" s="6">
        <v>199918</v>
      </c>
      <c r="P81" s="6">
        <v>200518</v>
      </c>
      <c r="Q81" s="6">
        <f>P81-O81</f>
      </c>
      <c r="R81" s="7">
        <v>600</v>
      </c>
      <c r="S81" s="6">
        <f>IF(Q81-R81&lt;0,"0",Q81-R81)</f>
      </c>
      <c r="T81" s="6">
        <v>0</v>
      </c>
      <c r="U81" s="8">
        <v>46167.14583333333</v>
      </c>
      <c r="V81" s="8">
        <v>46168.339583333334</v>
      </c>
      <c r="W81" s="9">
        <f>V81-U81</f>
      </c>
      <c r="X81" s="10">
        <v>0.625</v>
      </c>
      <c r="Y81" s="9">
        <f>IF(W81-X81&lt;0,"00:00:00",W81-X81)</f>
      </c>
      <c r="Z81" s="11">
        <v>145</v>
      </c>
      <c r="AA81" s="11">
        <v>6.9</v>
      </c>
      <c r="AB81" s="12">
        <f>Y81*Z81*24</f>
      </c>
      <c r="AC81" s="12">
        <f>S81*AA81</f>
      </c>
      <c r="AD81" s="12">
        <f>T81*AA81</f>
      </c>
      <c r="AE81" s="11">
        <v>4140</v>
      </c>
      <c r="AF81" s="12">
        <v>29.6</v>
      </c>
      <c r="AG81" s="12">
        <f>SUM(AB81:AF81)</f>
      </c>
      <c r="AH81" s="3"/>
      <c r="AI81" s="3"/>
      <c r="AJ81" s="3"/>
      <c r="AK81" s="3"/>
      <c r="AL81" s="3"/>
    </row>
    <row r="82" ht="18" customHeight="1" spans="1:38" x14ac:dyDescent="0.25">
      <c r="A82" s="3" t="s">
        <v>37</v>
      </c>
      <c r="B82" s="3" t="s">
        <v>38</v>
      </c>
      <c r="C82" s="3" t="s">
        <v>39</v>
      </c>
      <c r="D82" s="3" t="s">
        <v>40</v>
      </c>
      <c r="E82" s="3" t="s">
        <v>502</v>
      </c>
      <c r="F82" s="3" t="s">
        <v>503</v>
      </c>
      <c r="G82" s="3" t="s">
        <v>504</v>
      </c>
      <c r="H82" s="3" t="s">
        <v>505</v>
      </c>
      <c r="I82" s="3" t="s">
        <v>226</v>
      </c>
      <c r="J82" s="3" t="s">
        <v>506</v>
      </c>
      <c r="K82" s="5" t="s">
        <v>311</v>
      </c>
      <c r="L82" s="5" t="s">
        <v>101</v>
      </c>
      <c r="M82" s="5" t="s">
        <v>65</v>
      </c>
      <c r="N82" s="4" t="s">
        <v>46</v>
      </c>
      <c r="O82" s="6">
        <v>251669</v>
      </c>
      <c r="P82" s="6">
        <v>251702</v>
      </c>
      <c r="Q82" s="6">
        <f>P82-O82</f>
      </c>
      <c r="R82" s="7">
        <v>100</v>
      </c>
      <c r="S82" s="6">
        <f>IF(Q82-R82&lt;0,"0",Q82-R82)</f>
      </c>
      <c r="T82" s="6">
        <v>0</v>
      </c>
      <c r="U82" s="8">
        <v>46167.29166666667</v>
      </c>
      <c r="V82" s="8">
        <v>46167.41666666667</v>
      </c>
      <c r="W82" s="9">
        <f>V82-U82</f>
      </c>
      <c r="X82" s="10">
        <v>0.125</v>
      </c>
      <c r="Y82" s="9">
        <f>IF(W82-X82&lt;0,"00:00:00",W82-X82)</f>
      </c>
      <c r="Z82" s="11">
        <v>145</v>
      </c>
      <c r="AA82" s="11">
        <v>7.35</v>
      </c>
      <c r="AB82" s="12">
        <f>Y82*Z82*24</f>
      </c>
      <c r="AC82" s="12">
        <f>S82*AA82</f>
      </c>
      <c r="AD82" s="12">
        <f>T82*AA82</f>
      </c>
      <c r="AE82" s="11">
        <v>735</v>
      </c>
      <c r="AF82" s="12">
        <v>0</v>
      </c>
      <c r="AG82" s="12">
        <f>SUM(AB82:AF82)</f>
      </c>
      <c r="AH82" s="3"/>
      <c r="AI82" s="3"/>
      <c r="AJ82" s="3"/>
      <c r="AK82" s="3"/>
      <c r="AL82" s="3"/>
    </row>
    <row r="83" ht="18" customHeight="1" spans="1:38" x14ac:dyDescent="0.25">
      <c r="A83" s="3" t="s">
        <v>37</v>
      </c>
      <c r="B83" s="3" t="s">
        <v>38</v>
      </c>
      <c r="C83" s="3" t="s">
        <v>39</v>
      </c>
      <c r="D83" s="3" t="s">
        <v>40</v>
      </c>
      <c r="E83" s="3" t="s">
        <v>94</v>
      </c>
      <c r="F83" s="3" t="s">
        <v>507</v>
      </c>
      <c r="G83" s="3" t="s">
        <v>508</v>
      </c>
      <c r="H83" s="3" t="s">
        <v>509</v>
      </c>
      <c r="I83" s="3" t="s">
        <v>402</v>
      </c>
      <c r="J83" s="3" t="s">
        <v>227</v>
      </c>
      <c r="K83" s="5" t="s">
        <v>100</v>
      </c>
      <c r="L83" s="5" t="s">
        <v>101</v>
      </c>
      <c r="M83" s="5" t="s">
        <v>102</v>
      </c>
      <c r="N83" s="3" t="s">
        <v>101</v>
      </c>
      <c r="O83" s="6">
        <v>280516</v>
      </c>
      <c r="P83" s="6">
        <v>280548</v>
      </c>
      <c r="Q83" s="6">
        <f>P83-O83</f>
      </c>
      <c r="R83" s="7">
        <v>100</v>
      </c>
      <c r="S83" s="6">
        <f>IF(Q83-R83&lt;0,"0",Q83-R83)</f>
      </c>
      <c r="T83" s="6">
        <v>0</v>
      </c>
      <c r="U83" s="8">
        <v>46167.27083333333</v>
      </c>
      <c r="V83" s="8">
        <v>46167.39583333333</v>
      </c>
      <c r="W83" s="9">
        <f>V83-U83</f>
      </c>
      <c r="X83" s="10">
        <v>0.125</v>
      </c>
      <c r="Y83" s="9">
        <f>IF(W83-X83&lt;0,"00:00:00",W83-X83)</f>
      </c>
      <c r="Z83" s="11">
        <v>145</v>
      </c>
      <c r="AA83" s="11">
        <v>7.35</v>
      </c>
      <c r="AB83" s="12">
        <f>Y83*Z83*24</f>
      </c>
      <c r="AC83" s="12">
        <f>S83*AA83</f>
      </c>
      <c r="AD83" s="12">
        <f>T83*AA83</f>
      </c>
      <c r="AE83" s="11">
        <v>735</v>
      </c>
      <c r="AF83" s="12">
        <v>0</v>
      </c>
      <c r="AG83" s="12">
        <f>SUM(AB83:AF83)</f>
      </c>
      <c r="AH83" s="3"/>
      <c r="AI83" s="3"/>
      <c r="AJ83" s="3"/>
      <c r="AK83" s="3"/>
      <c r="AL83" s="3"/>
    </row>
    <row r="84" ht="18" customHeight="1" spans="1:38" x14ac:dyDescent="0.25">
      <c r="A84" s="3" t="s">
        <v>37</v>
      </c>
      <c r="B84" s="3" t="s">
        <v>38</v>
      </c>
      <c r="C84" s="3" t="s">
        <v>39</v>
      </c>
      <c r="D84" s="3" t="s">
        <v>40</v>
      </c>
      <c r="E84" s="3" t="s">
        <v>94</v>
      </c>
      <c r="F84" s="3" t="s">
        <v>510</v>
      </c>
      <c r="G84" s="3" t="s">
        <v>511</v>
      </c>
      <c r="H84" s="3" t="s">
        <v>512</v>
      </c>
      <c r="I84" s="3" t="s">
        <v>402</v>
      </c>
      <c r="J84" s="3" t="s">
        <v>513</v>
      </c>
      <c r="K84" s="5" t="s">
        <v>100</v>
      </c>
      <c r="L84" s="5" t="s">
        <v>101</v>
      </c>
      <c r="M84" s="5" t="s">
        <v>102</v>
      </c>
      <c r="N84" s="3" t="s">
        <v>101</v>
      </c>
      <c r="O84" s="6">
        <v>280580</v>
      </c>
      <c r="P84" s="6">
        <v>280612</v>
      </c>
      <c r="Q84" s="6">
        <f>P84-O84</f>
      </c>
      <c r="R84" s="7">
        <v>100</v>
      </c>
      <c r="S84" s="6">
        <f>IF(Q84-R84&lt;0,"0",Q84-R84)</f>
      </c>
      <c r="T84" s="6">
        <v>0</v>
      </c>
      <c r="U84" s="8">
        <v>46167.41666666667</v>
      </c>
      <c r="V84" s="8">
        <v>46167.54166666667</v>
      </c>
      <c r="W84" s="9">
        <f>V84-U84</f>
      </c>
      <c r="X84" s="10">
        <v>0.125</v>
      </c>
      <c r="Y84" s="9">
        <f>IF(W84-X84&lt;0,"00:00:00",W84-X84)</f>
      </c>
      <c r="Z84" s="11">
        <v>145</v>
      </c>
      <c r="AA84" s="11">
        <v>7.35</v>
      </c>
      <c r="AB84" s="12">
        <f>Y84*Z84*24</f>
      </c>
      <c r="AC84" s="12">
        <f>S84*AA84</f>
      </c>
      <c r="AD84" s="12">
        <f>T84*AA84</f>
      </c>
      <c r="AE84" s="11">
        <v>735</v>
      </c>
      <c r="AF84" s="12">
        <v>0</v>
      </c>
      <c r="AG84" s="12">
        <f>SUM(AB84:AF84)</f>
      </c>
      <c r="AH84" s="3"/>
      <c r="AI84" s="3"/>
      <c r="AJ84" s="3"/>
      <c r="AK84" s="3"/>
      <c r="AL84" s="3"/>
    </row>
    <row r="85" ht="18" customHeight="1" spans="1:38" x14ac:dyDescent="0.25">
      <c r="A85" s="3" t="s">
        <v>37</v>
      </c>
      <c r="B85" s="3" t="s">
        <v>38</v>
      </c>
      <c r="C85" s="3" t="s">
        <v>39</v>
      </c>
      <c r="D85" s="3" t="s">
        <v>40</v>
      </c>
      <c r="E85" s="3" t="s">
        <v>94</v>
      </c>
      <c r="F85" s="3" t="s">
        <v>514</v>
      </c>
      <c r="G85" s="3" t="s">
        <v>511</v>
      </c>
      <c r="H85" s="3" t="s">
        <v>515</v>
      </c>
      <c r="I85" s="3" t="s">
        <v>226</v>
      </c>
      <c r="J85" s="3" t="s">
        <v>513</v>
      </c>
      <c r="K85" s="5" t="s">
        <v>100</v>
      </c>
      <c r="L85" s="5" t="s">
        <v>101</v>
      </c>
      <c r="M85" s="5" t="s">
        <v>102</v>
      </c>
      <c r="N85" s="3" t="s">
        <v>101</v>
      </c>
      <c r="O85" s="6">
        <v>251756</v>
      </c>
      <c r="P85" s="6">
        <v>251788</v>
      </c>
      <c r="Q85" s="6">
        <f>P85-O85</f>
      </c>
      <c r="R85" s="7">
        <v>100</v>
      </c>
      <c r="S85" s="6">
        <f>IF(Q85-R85&lt;0,"0",Q85-R85)</f>
      </c>
      <c r="T85" s="6">
        <v>0</v>
      </c>
      <c r="U85" s="8">
        <v>46167.41666666667</v>
      </c>
      <c r="V85" s="8">
        <v>46167.54166666667</v>
      </c>
      <c r="W85" s="9">
        <f>V85-U85</f>
      </c>
      <c r="X85" s="10">
        <v>0.125</v>
      </c>
      <c r="Y85" s="9">
        <f>IF(W85-X85&lt;0,"00:00:00",W85-X85)</f>
      </c>
      <c r="Z85" s="11">
        <v>145</v>
      </c>
      <c r="AA85" s="11">
        <v>7.35</v>
      </c>
      <c r="AB85" s="12">
        <f>Y85*Z85*24</f>
      </c>
      <c r="AC85" s="12">
        <f>S85*AA85</f>
      </c>
      <c r="AD85" s="12">
        <f>T85*AA85</f>
      </c>
      <c r="AE85" s="11">
        <v>735</v>
      </c>
      <c r="AF85" s="12">
        <v>0</v>
      </c>
      <c r="AG85" s="12">
        <f>SUM(AB85:AF85)</f>
      </c>
      <c r="AH85" s="3"/>
      <c r="AI85" s="3"/>
      <c r="AJ85" s="3"/>
      <c r="AK85" s="3"/>
      <c r="AL85" s="3"/>
    </row>
    <row r="86" ht="18" customHeight="1" spans="1:38" x14ac:dyDescent="0.25">
      <c r="A86" s="3" t="s">
        <v>37</v>
      </c>
      <c r="B86" s="3" t="s">
        <v>38</v>
      </c>
      <c r="C86" s="3" t="s">
        <v>39</v>
      </c>
      <c r="D86" s="3" t="s">
        <v>40</v>
      </c>
      <c r="E86" s="3" t="s">
        <v>57</v>
      </c>
      <c r="F86" s="3" t="s">
        <v>516</v>
      </c>
      <c r="G86" s="3" t="s">
        <v>517</v>
      </c>
      <c r="H86" s="3" t="s">
        <v>518</v>
      </c>
      <c r="I86" s="3" t="s">
        <v>469</v>
      </c>
      <c r="J86" s="3" t="s">
        <v>519</v>
      </c>
      <c r="K86" s="5" t="s">
        <v>520</v>
      </c>
      <c r="L86" s="5" t="s">
        <v>64</v>
      </c>
      <c r="M86" s="5" t="s">
        <v>75</v>
      </c>
      <c r="N86" s="3" t="s">
        <v>64</v>
      </c>
      <c r="O86" s="6">
        <v>79001</v>
      </c>
      <c r="P86" s="6">
        <v>79055</v>
      </c>
      <c r="Q86" s="6">
        <f>P86-O86</f>
      </c>
      <c r="R86" s="7">
        <v>100</v>
      </c>
      <c r="S86" s="6">
        <f>IF(Q86-R86&lt;0,"0",Q86-R86)</f>
      </c>
      <c r="T86" s="6">
        <v>0</v>
      </c>
      <c r="U86" s="8">
        <v>46167.58333333333</v>
      </c>
      <c r="V86" s="8">
        <v>46167.80069444445</v>
      </c>
      <c r="W86" s="9">
        <f>V86-U86</f>
      </c>
      <c r="X86" s="10">
        <v>0.125</v>
      </c>
      <c r="Y86" s="9">
        <f>IF(W86-X86&lt;0,"00:00:00",W86-X86)</f>
      </c>
      <c r="Z86" s="11">
        <v>145</v>
      </c>
      <c r="AA86" s="11">
        <v>6.9</v>
      </c>
      <c r="AB86" s="12">
        <f>Y86*Z86*24</f>
      </c>
      <c r="AC86" s="12">
        <f>S86*AA86</f>
      </c>
      <c r="AD86" s="12">
        <f>T86*AA86</f>
      </c>
      <c r="AE86" s="11">
        <v>689.9999999999999</v>
      </c>
      <c r="AF86" s="12">
        <v>5.9</v>
      </c>
      <c r="AG86" s="12">
        <f>SUM(AB86:AF86)</f>
      </c>
      <c r="AH86" s="3"/>
      <c r="AI86" s="3"/>
      <c r="AJ86" s="3"/>
      <c r="AK86" s="3"/>
      <c r="AL86" s="3"/>
    </row>
    <row r="87" ht="18" customHeight="1" spans="1:38" x14ac:dyDescent="0.25">
      <c r="A87" s="3" t="s">
        <v>37</v>
      </c>
      <c r="B87" s="3" t="s">
        <v>38</v>
      </c>
      <c r="C87" s="3" t="s">
        <v>39</v>
      </c>
      <c r="D87" s="3" t="s">
        <v>40</v>
      </c>
      <c r="E87" s="3" t="s">
        <v>521</v>
      </c>
      <c r="F87" s="3" t="s">
        <v>522</v>
      </c>
      <c r="G87" s="3" t="s">
        <v>523</v>
      </c>
      <c r="H87" s="3" t="s">
        <v>524</v>
      </c>
      <c r="I87" s="3" t="s">
        <v>525</v>
      </c>
      <c r="J87" s="3" t="s">
        <v>526</v>
      </c>
      <c r="K87" s="5" t="s">
        <v>527</v>
      </c>
      <c r="L87" s="5" t="s">
        <v>64</v>
      </c>
      <c r="M87" s="5" t="s">
        <v>528</v>
      </c>
      <c r="N87" s="3" t="s">
        <v>64</v>
      </c>
      <c r="O87" s="6">
        <v>45546</v>
      </c>
      <c r="P87" s="6">
        <v>45582</v>
      </c>
      <c r="Q87" s="6">
        <f>P87-O87</f>
      </c>
      <c r="R87" s="7">
        <v>100</v>
      </c>
      <c r="S87" s="6">
        <f>IF(Q87-R87&lt;0,"0",Q87-R87)</f>
      </c>
      <c r="T87" s="6">
        <v>0</v>
      </c>
      <c r="U87" s="8">
        <v>46168.39583333333</v>
      </c>
      <c r="V87" s="8">
        <v>46168.52083333333</v>
      </c>
      <c r="W87" s="9">
        <f>V87-U87</f>
      </c>
      <c r="X87" s="10">
        <v>0.125</v>
      </c>
      <c r="Y87" s="9">
        <f>IF(W87-X87&lt;0,"00:00:00",W87-X87)</f>
      </c>
      <c r="Z87" s="11">
        <v>145</v>
      </c>
      <c r="AA87" s="11">
        <v>6.9</v>
      </c>
      <c r="AB87" s="12">
        <f>Y87*Z87*24</f>
      </c>
      <c r="AC87" s="12">
        <f>S87*AA87</f>
      </c>
      <c r="AD87" s="12">
        <f>T87*AA87</f>
      </c>
      <c r="AE87" s="11">
        <v>690</v>
      </c>
      <c r="AF87" s="12">
        <v>0</v>
      </c>
      <c r="AG87" s="12">
        <f>SUM(AB87:AF87)</f>
      </c>
      <c r="AH87" s="3"/>
      <c r="AI87" s="3"/>
      <c r="AJ87" s="3"/>
      <c r="AK87" s="3"/>
      <c r="AL87" s="3"/>
    </row>
    <row r="88" ht="18" customHeight="1" spans="1:38" x14ac:dyDescent="0.25">
      <c r="A88" s="3" t="s">
        <v>37</v>
      </c>
      <c r="B88" s="3" t="s">
        <v>38</v>
      </c>
      <c r="C88" s="3" t="s">
        <v>39</v>
      </c>
      <c r="D88" s="3" t="s">
        <v>40</v>
      </c>
      <c r="E88" s="3" t="s">
        <v>521</v>
      </c>
      <c r="F88" s="3" t="s">
        <v>529</v>
      </c>
      <c r="G88" s="3" t="s">
        <v>530</v>
      </c>
      <c r="H88" s="3" t="s">
        <v>531</v>
      </c>
      <c r="I88" s="3" t="s">
        <v>532</v>
      </c>
      <c r="J88" s="3" t="s">
        <v>533</v>
      </c>
      <c r="K88" s="5" t="s">
        <v>527</v>
      </c>
      <c r="L88" s="5" t="s">
        <v>64</v>
      </c>
      <c r="M88" s="5" t="s">
        <v>534</v>
      </c>
      <c r="N88" s="3" t="s">
        <v>64</v>
      </c>
      <c r="O88" s="6">
        <v>25003</v>
      </c>
      <c r="P88" s="6">
        <v>25049</v>
      </c>
      <c r="Q88" s="6">
        <f>P88-O88</f>
      </c>
      <c r="R88" s="7">
        <v>100</v>
      </c>
      <c r="S88" s="6">
        <f>IF(Q88-R88&lt;0,"0",Q88-R88)</f>
      </c>
      <c r="T88" s="6">
        <v>0</v>
      </c>
      <c r="U88" s="8">
        <v>46168.25</v>
      </c>
      <c r="V88" s="8">
        <v>46168.375</v>
      </c>
      <c r="W88" s="9">
        <f>V88-U88</f>
      </c>
      <c r="X88" s="10">
        <v>0.125</v>
      </c>
      <c r="Y88" s="9">
        <f>IF(W88-X88&lt;0,"00:00:00",W88-X88)</f>
      </c>
      <c r="Z88" s="11">
        <v>145</v>
      </c>
      <c r="AA88" s="11">
        <v>6.9</v>
      </c>
      <c r="AB88" s="12">
        <f>Y88*Z88*24</f>
      </c>
      <c r="AC88" s="12">
        <f>S88*AA88</f>
      </c>
      <c r="AD88" s="12">
        <f>T88*AA88</f>
      </c>
      <c r="AE88" s="11">
        <v>690</v>
      </c>
      <c r="AF88" s="12">
        <v>0</v>
      </c>
      <c r="AG88" s="12">
        <f>SUM(AB88:AF88)</f>
      </c>
      <c r="AH88" s="3"/>
      <c r="AI88" s="3"/>
      <c r="AJ88" s="3"/>
      <c r="AK88" s="3"/>
      <c r="AL88" s="3"/>
    </row>
    <row r="89" ht="18" customHeight="1" spans="1:38" x14ac:dyDescent="0.25">
      <c r="A89" s="3" t="s">
        <v>37</v>
      </c>
      <c r="B89" s="3" t="s">
        <v>38</v>
      </c>
      <c r="C89" s="3" t="s">
        <v>39</v>
      </c>
      <c r="D89" s="3" t="s">
        <v>40</v>
      </c>
      <c r="E89" s="3" t="s">
        <v>521</v>
      </c>
      <c r="F89" s="3" t="s">
        <v>535</v>
      </c>
      <c r="G89" s="3" t="s">
        <v>530</v>
      </c>
      <c r="H89" s="3" t="s">
        <v>536</v>
      </c>
      <c r="I89" s="3" t="s">
        <v>537</v>
      </c>
      <c r="J89" s="3" t="s">
        <v>533</v>
      </c>
      <c r="K89" s="5" t="s">
        <v>527</v>
      </c>
      <c r="L89" s="5" t="s">
        <v>64</v>
      </c>
      <c r="M89" s="5" t="s">
        <v>534</v>
      </c>
      <c r="N89" s="3" t="s">
        <v>64</v>
      </c>
      <c r="O89" s="6">
        <v>43383</v>
      </c>
      <c r="P89" s="6">
        <v>43430</v>
      </c>
      <c r="Q89" s="6">
        <f>P89-O89</f>
      </c>
      <c r="R89" s="7">
        <v>100</v>
      </c>
      <c r="S89" s="6">
        <f>IF(Q89-R89&lt;0,"0",Q89-R89)</f>
      </c>
      <c r="T89" s="6">
        <v>0</v>
      </c>
      <c r="U89" s="8">
        <v>46168.25</v>
      </c>
      <c r="V89" s="8">
        <v>46168.375</v>
      </c>
      <c r="W89" s="9">
        <f>V89-U89</f>
      </c>
      <c r="X89" s="10">
        <v>0.125</v>
      </c>
      <c r="Y89" s="9">
        <f>IF(W89-X89&lt;0,"00:00:00",W89-X89)</f>
      </c>
      <c r="Z89" s="11">
        <v>145</v>
      </c>
      <c r="AA89" s="11">
        <v>6.9</v>
      </c>
      <c r="AB89" s="12">
        <f>Y89*Z89*24</f>
      </c>
      <c r="AC89" s="12">
        <f>S89*AA89</f>
      </c>
      <c r="AD89" s="12">
        <f>T89*AA89</f>
      </c>
      <c r="AE89" s="11">
        <v>690</v>
      </c>
      <c r="AF89" s="12">
        <v>0</v>
      </c>
      <c r="AG89" s="12">
        <f>SUM(AB89:AF89)</f>
      </c>
      <c r="AH89" s="3"/>
      <c r="AI89" s="3"/>
      <c r="AJ89" s="3"/>
      <c r="AK89" s="3"/>
      <c r="AL89" s="3"/>
    </row>
    <row r="90" ht="18" customHeight="1" spans="1:38" x14ac:dyDescent="0.25">
      <c r="A90" s="3" t="s">
        <v>37</v>
      </c>
      <c r="B90" s="3" t="s">
        <v>38</v>
      </c>
      <c r="C90" s="3" t="s">
        <v>39</v>
      </c>
      <c r="D90" s="3" t="s">
        <v>40</v>
      </c>
      <c r="E90" s="3" t="s">
        <v>538</v>
      </c>
      <c r="F90" s="3" t="s">
        <v>539</v>
      </c>
      <c r="G90" s="3" t="s">
        <v>540</v>
      </c>
      <c r="H90" s="3" t="s">
        <v>541</v>
      </c>
      <c r="I90" s="3" t="s">
        <v>422</v>
      </c>
      <c r="J90" s="3" t="s">
        <v>335</v>
      </c>
      <c r="K90" s="5" t="s">
        <v>336</v>
      </c>
      <c r="L90" s="5" t="s">
        <v>48</v>
      </c>
      <c r="M90" s="5" t="s">
        <v>65</v>
      </c>
      <c r="N90" s="4" t="s">
        <v>46</v>
      </c>
      <c r="O90" s="6">
        <v>5002</v>
      </c>
      <c r="P90" s="6">
        <v>5202</v>
      </c>
      <c r="Q90" s="6">
        <f>P90-O90</f>
      </c>
      <c r="R90" s="7">
        <v>200</v>
      </c>
      <c r="S90" s="6">
        <f>IF(Q90-R90&lt;0,"0",Q90-R90)</f>
      </c>
      <c r="T90" s="6">
        <v>0</v>
      </c>
      <c r="U90" s="8">
        <v>46167.743055555555</v>
      </c>
      <c r="V90" s="8">
        <v>46168.06388888889</v>
      </c>
      <c r="W90" s="9">
        <f>V90-U90</f>
      </c>
      <c r="X90" s="10">
        <v>0.20833333333333334</v>
      </c>
      <c r="Y90" s="9">
        <f>IF(W90-X90&lt;0,"00:00:00",W90-X90)</f>
      </c>
      <c r="Z90" s="11">
        <v>145</v>
      </c>
      <c r="AA90" s="11">
        <v>7.35</v>
      </c>
      <c r="AB90" s="12">
        <f>Y90*Z90*24</f>
      </c>
      <c r="AC90" s="12">
        <f>S90*AA90</f>
      </c>
      <c r="AD90" s="12">
        <f>T90*AA90</f>
      </c>
      <c r="AE90" s="11">
        <v>1470</v>
      </c>
      <c r="AF90" s="12">
        <v>35</v>
      </c>
      <c r="AG90" s="12">
        <f>SUM(AB90:AF90)</f>
      </c>
      <c r="AH90" s="3"/>
      <c r="AI90" s="3"/>
      <c r="AJ90" s="3"/>
      <c r="AK90" s="3"/>
      <c r="AL90" s="3"/>
    </row>
    <row r="91" ht="18" customHeight="1" spans="1:38" x14ac:dyDescent="0.25">
      <c r="A91" s="3" t="s">
        <v>37</v>
      </c>
      <c r="B91" s="3" t="s">
        <v>38</v>
      </c>
      <c r="C91" s="3" t="s">
        <v>39</v>
      </c>
      <c r="D91" s="3" t="s">
        <v>40</v>
      </c>
      <c r="E91" s="3" t="s">
        <v>116</v>
      </c>
      <c r="F91" s="3" t="s">
        <v>542</v>
      </c>
      <c r="G91" s="3" t="s">
        <v>543</v>
      </c>
      <c r="H91" s="3" t="s">
        <v>544</v>
      </c>
      <c r="I91" s="3" t="s">
        <v>133</v>
      </c>
      <c r="J91" s="3" t="s">
        <v>545</v>
      </c>
      <c r="K91" s="5" t="s">
        <v>159</v>
      </c>
      <c r="L91" s="5" t="s">
        <v>64</v>
      </c>
      <c r="M91" s="5" t="s">
        <v>546</v>
      </c>
      <c r="N91" s="3" t="s">
        <v>64</v>
      </c>
      <c r="O91" s="6">
        <v>32075</v>
      </c>
      <c r="P91" s="6">
        <v>32128</v>
      </c>
      <c r="Q91" s="6">
        <f>P91-O91</f>
      </c>
      <c r="R91" s="7">
        <v>100</v>
      </c>
      <c r="S91" s="6">
        <f>IF(Q91-R91&lt;0,"0",Q91-R91)</f>
      </c>
      <c r="T91" s="6">
        <v>0</v>
      </c>
      <c r="U91" s="8">
        <v>46168.27083333333</v>
      </c>
      <c r="V91" s="8">
        <v>46168.603472222225</v>
      </c>
      <c r="W91" s="9">
        <f>V91-U91</f>
      </c>
      <c r="X91" s="10">
        <v>0.125</v>
      </c>
      <c r="Y91" s="9">
        <f>IF(W91-X91&lt;0,"00:00:00",W91-X91)</f>
      </c>
      <c r="Z91" s="11">
        <v>145</v>
      </c>
      <c r="AA91" s="11">
        <v>6.9</v>
      </c>
      <c r="AB91" s="12">
        <f>Y91*Z91*24</f>
      </c>
      <c r="AC91" s="12">
        <f>S91*AA91</f>
      </c>
      <c r="AD91" s="12">
        <f>T91*AA91</f>
      </c>
      <c r="AE91" s="11">
        <v>689.9999999999999</v>
      </c>
      <c r="AF91" s="12">
        <v>0</v>
      </c>
      <c r="AG91" s="12">
        <f>SUM(AB91:AF91)</f>
      </c>
      <c r="AH91" s="3"/>
      <c r="AI91" s="3"/>
      <c r="AJ91" s="3"/>
      <c r="AK91" s="3"/>
      <c r="AL91" s="3"/>
    </row>
    <row r="92" ht="18" customHeight="1" spans="1:38" x14ac:dyDescent="0.25">
      <c r="A92" s="3" t="s">
        <v>37</v>
      </c>
      <c r="B92" s="3" t="s">
        <v>38</v>
      </c>
      <c r="C92" s="3" t="s">
        <v>39</v>
      </c>
      <c r="D92" s="3" t="s">
        <v>40</v>
      </c>
      <c r="E92" s="3" t="s">
        <v>116</v>
      </c>
      <c r="F92" s="3" t="s">
        <v>547</v>
      </c>
      <c r="G92" s="3" t="s">
        <v>548</v>
      </c>
      <c r="H92" s="3" t="s">
        <v>549</v>
      </c>
      <c r="I92" s="3" t="s">
        <v>120</v>
      </c>
      <c r="J92" s="3" t="s">
        <v>550</v>
      </c>
      <c r="K92" s="5" t="s">
        <v>551</v>
      </c>
      <c r="L92" s="5" t="s">
        <v>64</v>
      </c>
      <c r="M92" s="5" t="s">
        <v>159</v>
      </c>
      <c r="N92" s="3" t="s">
        <v>64</v>
      </c>
      <c r="O92" s="6">
        <v>23671</v>
      </c>
      <c r="P92" s="6">
        <v>23771</v>
      </c>
      <c r="Q92" s="6">
        <f>P92-O92</f>
      </c>
      <c r="R92" s="7">
        <v>100</v>
      </c>
      <c r="S92" s="6">
        <f>IF(Q92-R92&lt;0,"0",Q92-R92)</f>
      </c>
      <c r="T92" s="6">
        <v>0</v>
      </c>
      <c r="U92" s="8">
        <v>46168.54166666667</v>
      </c>
      <c r="V92" s="8">
        <v>46168.73958333333</v>
      </c>
      <c r="W92" s="9">
        <f>V92-U92</f>
      </c>
      <c r="X92" s="10">
        <v>0.125</v>
      </c>
      <c r="Y92" s="9">
        <f>IF(W92-X92&lt;0,"00:00:00",W92-X92)</f>
      </c>
      <c r="Z92" s="11">
        <v>145</v>
      </c>
      <c r="AA92" s="11">
        <v>6.9</v>
      </c>
      <c r="AB92" s="12">
        <f>Y92*Z92*24</f>
      </c>
      <c r="AC92" s="12">
        <f>S92*AA92</f>
      </c>
      <c r="AD92" s="12">
        <f>T92*AA92</f>
      </c>
      <c r="AE92" s="11">
        <v>690</v>
      </c>
      <c r="AF92" s="12">
        <v>0</v>
      </c>
      <c r="AG92" s="12">
        <f>SUM(AB92:AF92)</f>
      </c>
      <c r="AH92" s="3"/>
      <c r="AI92" s="3"/>
      <c r="AJ92" s="3"/>
      <c r="AK92" s="3"/>
      <c r="AL92" s="3"/>
    </row>
    <row r="93" ht="18" customHeight="1" spans="1:38" x14ac:dyDescent="0.25">
      <c r="A93" s="3" t="s">
        <v>37</v>
      </c>
      <c r="B93" s="3" t="s">
        <v>38</v>
      </c>
      <c r="C93" s="3" t="s">
        <v>39</v>
      </c>
      <c r="D93" s="3" t="s">
        <v>110</v>
      </c>
      <c r="E93" s="3" t="s">
        <v>57</v>
      </c>
      <c r="F93" s="3" t="s">
        <v>552</v>
      </c>
      <c r="G93" s="4" t="s">
        <v>46</v>
      </c>
      <c r="H93" s="3" t="s">
        <v>553</v>
      </c>
      <c r="I93" s="3" t="s">
        <v>296</v>
      </c>
      <c r="J93" s="3" t="s">
        <v>554</v>
      </c>
      <c r="K93" s="5" t="s">
        <v>75</v>
      </c>
      <c r="L93" s="5" t="s">
        <v>64</v>
      </c>
      <c r="M93" s="5" t="s">
        <v>65</v>
      </c>
      <c r="N93" s="4" t="s">
        <v>46</v>
      </c>
      <c r="O93" s="6">
        <v>0</v>
      </c>
      <c r="P93" s="6">
        <v>0</v>
      </c>
      <c r="Q93" s="6">
        <f>P93-O93</f>
      </c>
      <c r="R93" s="7">
        <v>100</v>
      </c>
      <c r="S93" s="6">
        <f>IF(Q93-R93&lt;0,"0",Q93-R93)</f>
      </c>
      <c r="T93" s="6">
        <v>0</v>
      </c>
      <c r="U93" s="8">
        <v>46168.25</v>
      </c>
      <c r="V93" s="8">
        <v>46168.375</v>
      </c>
      <c r="W93" s="9">
        <f>V93-U93</f>
      </c>
      <c r="X93" s="10">
        <v>0.125</v>
      </c>
      <c r="Y93" s="9">
        <f>IF(W93-X93&lt;0,"00:00:00",W93-X93)</f>
      </c>
      <c r="Z93" s="11">
        <v>145</v>
      </c>
      <c r="AA93" s="11">
        <v>6.9</v>
      </c>
      <c r="AB93" s="12">
        <f>Y93*Z93*24</f>
      </c>
      <c r="AC93" s="12">
        <f>S93*AA93</f>
      </c>
      <c r="AD93" s="12">
        <f>T93*AA93</f>
      </c>
      <c r="AE93" s="11">
        <v>839.83</v>
      </c>
      <c r="AF93" s="12">
        <v>0</v>
      </c>
      <c r="AG93" s="12">
        <f>SUM(AB93:AF93)</f>
      </c>
      <c r="AH93" s="3"/>
      <c r="AI93" s="3"/>
      <c r="AJ93" s="3"/>
      <c r="AK93" s="3"/>
      <c r="AL93" s="3"/>
    </row>
    <row r="94" ht="18" customHeight="1" spans="1:38" x14ac:dyDescent="0.25">
      <c r="A94" s="3" t="s">
        <v>37</v>
      </c>
      <c r="B94" s="3" t="s">
        <v>38</v>
      </c>
      <c r="C94" s="3" t="s">
        <v>39</v>
      </c>
      <c r="D94" s="3" t="s">
        <v>40</v>
      </c>
      <c r="E94" s="3" t="s">
        <v>76</v>
      </c>
      <c r="F94" s="3" t="s">
        <v>555</v>
      </c>
      <c r="G94" s="3" t="s">
        <v>556</v>
      </c>
      <c r="H94" s="3" t="s">
        <v>557</v>
      </c>
      <c r="I94" s="3" t="s">
        <v>558</v>
      </c>
      <c r="J94" s="3" t="s">
        <v>559</v>
      </c>
      <c r="K94" s="5" t="s">
        <v>560</v>
      </c>
      <c r="L94" s="5" t="s">
        <v>83</v>
      </c>
      <c r="M94" s="5" t="s">
        <v>561</v>
      </c>
      <c r="N94" s="3" t="s">
        <v>83</v>
      </c>
      <c r="O94" s="6">
        <v>252174</v>
      </c>
      <c r="P94" s="6">
        <v>252179</v>
      </c>
      <c r="Q94" s="6">
        <f>P94-O94</f>
      </c>
      <c r="R94" s="7">
        <v>100</v>
      </c>
      <c r="S94" s="6">
        <f>IF(Q94-R94&lt;0,"0",Q94-R94)</f>
      </c>
      <c r="T94" s="6">
        <v>0</v>
      </c>
      <c r="U94" s="8">
        <v>46167.875</v>
      </c>
      <c r="V94" s="8">
        <v>46168</v>
      </c>
      <c r="W94" s="9">
        <f>V94-U94</f>
      </c>
      <c r="X94" s="10">
        <v>0.125</v>
      </c>
      <c r="Y94" s="9">
        <f>IF(W94-X94&lt;0,"00:00:00",W94-X94)</f>
      </c>
      <c r="Z94" s="11">
        <v>145</v>
      </c>
      <c r="AA94" s="11">
        <v>6.9</v>
      </c>
      <c r="AB94" s="12">
        <f>Y94*Z94*24</f>
      </c>
      <c r="AC94" s="12">
        <f>S94*AA94</f>
      </c>
      <c r="AD94" s="12">
        <f>T94*AA94</f>
      </c>
      <c r="AE94" s="11">
        <v>690</v>
      </c>
      <c r="AF94" s="12">
        <v>0</v>
      </c>
      <c r="AG94" s="12">
        <f>SUM(AB94:AF94)</f>
      </c>
      <c r="AH94" s="3"/>
      <c r="AI94" s="3"/>
      <c r="AJ94" s="3"/>
      <c r="AK94" s="3"/>
      <c r="AL94" s="3"/>
    </row>
    <row r="95" ht="18" customHeight="1" spans="1:38" x14ac:dyDescent="0.25">
      <c r="A95" s="3" t="s">
        <v>37</v>
      </c>
      <c r="B95" s="3" t="s">
        <v>38</v>
      </c>
      <c r="C95" s="3" t="s">
        <v>39</v>
      </c>
      <c r="D95" s="3" t="s">
        <v>40</v>
      </c>
      <c r="E95" s="3" t="s">
        <v>372</v>
      </c>
      <c r="F95" s="3" t="s">
        <v>562</v>
      </c>
      <c r="G95" s="3" t="s">
        <v>563</v>
      </c>
      <c r="H95" s="3" t="s">
        <v>564</v>
      </c>
      <c r="I95" s="3" t="s">
        <v>558</v>
      </c>
      <c r="J95" s="3" t="s">
        <v>565</v>
      </c>
      <c r="K95" s="5" t="s">
        <v>377</v>
      </c>
      <c r="L95" s="5" t="s">
        <v>83</v>
      </c>
      <c r="M95" s="5" t="s">
        <v>65</v>
      </c>
      <c r="N95" s="4" t="s">
        <v>46</v>
      </c>
      <c r="O95" s="6">
        <v>252211</v>
      </c>
      <c r="P95" s="6">
        <v>252411</v>
      </c>
      <c r="Q95" s="6">
        <f>P95-O95</f>
      </c>
      <c r="R95" s="7">
        <v>200</v>
      </c>
      <c r="S95" s="6">
        <f>IF(Q95-R95&lt;0,"0",Q95-R95)</f>
      </c>
      <c r="T95" s="6">
        <v>0</v>
      </c>
      <c r="U95" s="8">
        <v>46167.98611111111</v>
      </c>
      <c r="V95" s="8">
        <v>46168.194444444445</v>
      </c>
      <c r="W95" s="9">
        <f>V95-U95</f>
      </c>
      <c r="X95" s="10">
        <v>0.20833333333333334</v>
      </c>
      <c r="Y95" s="9">
        <f>IF(W95-X95&lt;0,"00:00:00",W95-X95)</f>
      </c>
      <c r="Z95" s="11">
        <v>145</v>
      </c>
      <c r="AA95" s="11">
        <v>6.9</v>
      </c>
      <c r="AB95" s="12">
        <f>Y95*Z95*24</f>
      </c>
      <c r="AC95" s="12">
        <f>S95*AA95</f>
      </c>
      <c r="AD95" s="12">
        <f>T95*AA95</f>
      </c>
      <c r="AE95" s="11">
        <v>1380</v>
      </c>
      <c r="AF95" s="12">
        <v>35</v>
      </c>
      <c r="AG95" s="12">
        <f>SUM(AB95:AF95)</f>
      </c>
      <c r="AH95" s="3"/>
      <c r="AI95" s="3"/>
      <c r="AJ95" s="3"/>
      <c r="AK95" s="3"/>
      <c r="AL95" s="3"/>
    </row>
    <row r="96" ht="18" customHeight="1" spans="1:38" x14ac:dyDescent="0.25">
      <c r="A96" s="3" t="s">
        <v>37</v>
      </c>
      <c r="B96" s="3" t="s">
        <v>38</v>
      </c>
      <c r="C96" s="3" t="s">
        <v>39</v>
      </c>
      <c r="D96" s="3" t="s">
        <v>40</v>
      </c>
      <c r="E96" s="3" t="s">
        <v>566</v>
      </c>
      <c r="F96" s="3" t="s">
        <v>567</v>
      </c>
      <c r="G96" s="3" t="s">
        <v>568</v>
      </c>
      <c r="H96" s="3" t="s">
        <v>569</v>
      </c>
      <c r="I96" s="3" t="s">
        <v>570</v>
      </c>
      <c r="J96" s="3" t="s">
        <v>571</v>
      </c>
      <c r="K96" s="5" t="s">
        <v>63</v>
      </c>
      <c r="L96" s="5" t="s">
        <v>64</v>
      </c>
      <c r="M96" s="5" t="s">
        <v>572</v>
      </c>
      <c r="N96" s="3" t="s">
        <v>320</v>
      </c>
      <c r="O96" s="6">
        <v>423304</v>
      </c>
      <c r="P96" s="6">
        <v>423712</v>
      </c>
      <c r="Q96" s="6">
        <f>P96-O96</f>
      </c>
      <c r="R96" s="7">
        <v>400</v>
      </c>
      <c r="S96" s="6">
        <f>IF(Q96-R96&lt;0,"0",Q96-R96)</f>
      </c>
      <c r="T96" s="6">
        <v>0</v>
      </c>
      <c r="U96" s="8">
        <v>46168</v>
      </c>
      <c r="V96" s="8">
        <v>46168.41666666667</v>
      </c>
      <c r="W96" s="9">
        <f>V96-U96</f>
      </c>
      <c r="X96" s="10">
        <v>0.4166666666666667</v>
      </c>
      <c r="Y96" s="9">
        <f>IF(W96-X96&lt;0,"00:00:00",W96-X96)</f>
      </c>
      <c r="Z96" s="11">
        <v>145</v>
      </c>
      <c r="AA96" s="11">
        <v>6.9</v>
      </c>
      <c r="AB96" s="12">
        <f>Y96*Z96*24</f>
      </c>
      <c r="AC96" s="12">
        <f>S96*AA96</f>
      </c>
      <c r="AD96" s="12">
        <f>T96*AA96</f>
      </c>
      <c r="AE96" s="11">
        <v>2760</v>
      </c>
      <c r="AF96" s="12">
        <v>35.2</v>
      </c>
      <c r="AG96" s="12">
        <f>SUM(AB96:AF96)</f>
      </c>
      <c r="AH96" s="3"/>
      <c r="AI96" s="3"/>
      <c r="AJ96" s="3"/>
      <c r="AK96" s="3"/>
      <c r="AL96" s="3"/>
    </row>
    <row r="97" ht="18" customHeight="1" spans="1:38" x14ac:dyDescent="0.25">
      <c r="A97" s="3" t="s">
        <v>37</v>
      </c>
      <c r="B97" s="3" t="s">
        <v>38</v>
      </c>
      <c r="C97" s="3" t="s">
        <v>39</v>
      </c>
      <c r="D97" s="3" t="s">
        <v>40</v>
      </c>
      <c r="E97" s="3" t="s">
        <v>116</v>
      </c>
      <c r="F97" s="3" t="s">
        <v>573</v>
      </c>
      <c r="G97" s="3" t="s">
        <v>574</v>
      </c>
      <c r="H97" s="3" t="s">
        <v>575</v>
      </c>
      <c r="I97" s="3" t="s">
        <v>120</v>
      </c>
      <c r="J97" s="3" t="s">
        <v>576</v>
      </c>
      <c r="K97" s="5" t="s">
        <v>159</v>
      </c>
      <c r="L97" s="5" t="s">
        <v>64</v>
      </c>
      <c r="M97" s="5" t="s">
        <v>577</v>
      </c>
      <c r="N97" s="3" t="s">
        <v>64</v>
      </c>
      <c r="O97" s="6">
        <v>23773</v>
      </c>
      <c r="P97" s="6">
        <v>23789</v>
      </c>
      <c r="Q97" s="6">
        <f>P97-O97</f>
      </c>
      <c r="R97" s="7">
        <v>100</v>
      </c>
      <c r="S97" s="6">
        <f>IF(Q97-R97&lt;0,"0",Q97-R97)</f>
      </c>
      <c r="T97" s="6">
        <v>0</v>
      </c>
      <c r="U97" s="8">
        <v>46168.875</v>
      </c>
      <c r="V97" s="8">
        <v>46169.004166666666</v>
      </c>
      <c r="W97" s="9">
        <f>V97-U97</f>
      </c>
      <c r="X97" s="10">
        <v>0.125</v>
      </c>
      <c r="Y97" s="9">
        <f>IF(W97-X97&lt;0,"00:00:00",W97-X97)</f>
      </c>
      <c r="Z97" s="11">
        <v>145</v>
      </c>
      <c r="AA97" s="11">
        <v>6.9</v>
      </c>
      <c r="AB97" s="12">
        <f>Y97*Z97*24</f>
      </c>
      <c r="AC97" s="12">
        <f>S97*AA97</f>
      </c>
      <c r="AD97" s="12">
        <f>T97*AA97</f>
      </c>
      <c r="AE97" s="11">
        <v>690</v>
      </c>
      <c r="AF97" s="12">
        <v>0</v>
      </c>
      <c r="AG97" s="12">
        <f>SUM(AB97:AF97)</f>
      </c>
      <c r="AH97" s="3"/>
      <c r="AI97" s="3"/>
      <c r="AJ97" s="3"/>
      <c r="AK97" s="3"/>
      <c r="AL97" s="3"/>
    </row>
    <row r="98" ht="18" customHeight="1" spans="1:38" x14ac:dyDescent="0.25">
      <c r="A98" s="3" t="s">
        <v>37</v>
      </c>
      <c r="B98" s="3" t="s">
        <v>38</v>
      </c>
      <c r="C98" s="3" t="s">
        <v>39</v>
      </c>
      <c r="D98" s="3" t="s">
        <v>40</v>
      </c>
      <c r="E98" s="3" t="s">
        <v>268</v>
      </c>
      <c r="F98" s="3" t="s">
        <v>578</v>
      </c>
      <c r="G98" s="3" t="s">
        <v>579</v>
      </c>
      <c r="H98" s="3" t="s">
        <v>580</v>
      </c>
      <c r="I98" s="3" t="s">
        <v>581</v>
      </c>
      <c r="J98" s="3" t="s">
        <v>582</v>
      </c>
      <c r="K98" s="5" t="s">
        <v>527</v>
      </c>
      <c r="L98" s="5" t="s">
        <v>64</v>
      </c>
      <c r="M98" s="5" t="s">
        <v>583</v>
      </c>
      <c r="N98" s="3" t="s">
        <v>64</v>
      </c>
      <c r="O98" s="6">
        <v>40309</v>
      </c>
      <c r="P98" s="6">
        <v>40351</v>
      </c>
      <c r="Q98" s="6">
        <f>P98-O98</f>
      </c>
      <c r="R98" s="7">
        <v>100</v>
      </c>
      <c r="S98" s="6">
        <f>IF(Q98-R98&lt;0,"0",Q98-R98)</f>
      </c>
      <c r="T98" s="6">
        <v>0</v>
      </c>
      <c r="U98" s="8">
        <v>46169.41666666667</v>
      </c>
      <c r="V98" s="8">
        <v>46169.54166666667</v>
      </c>
      <c r="W98" s="9">
        <f>V98-U98</f>
      </c>
      <c r="X98" s="10">
        <v>0.125</v>
      </c>
      <c r="Y98" s="9">
        <f>IF(W98-X98&lt;0,"00:00:00",W98-X98)</f>
      </c>
      <c r="Z98" s="11">
        <v>145</v>
      </c>
      <c r="AA98" s="11">
        <v>6.9</v>
      </c>
      <c r="AB98" s="12">
        <f>Y98*Z98*24</f>
      </c>
      <c r="AC98" s="12">
        <f>S98*AA98</f>
      </c>
      <c r="AD98" s="12">
        <f>T98*AA98</f>
      </c>
      <c r="AE98" s="11">
        <v>690</v>
      </c>
      <c r="AF98" s="12">
        <v>13.6</v>
      </c>
      <c r="AG98" s="12">
        <f>SUM(AB98:AF98)</f>
      </c>
      <c r="AH98" s="3"/>
      <c r="AI98" s="3"/>
      <c r="AJ98" s="3"/>
      <c r="AK98" s="3"/>
      <c r="AL98" s="3"/>
    </row>
    <row r="99" ht="18" customHeight="1" spans="1:38" x14ac:dyDescent="0.25">
      <c r="A99" s="3" t="s">
        <v>37</v>
      </c>
      <c r="B99" s="3" t="s">
        <v>38</v>
      </c>
      <c r="C99" s="3" t="s">
        <v>39</v>
      </c>
      <c r="D99" s="3" t="s">
        <v>40</v>
      </c>
      <c r="E99" s="3" t="s">
        <v>584</v>
      </c>
      <c r="F99" s="3" t="s">
        <v>585</v>
      </c>
      <c r="G99" s="3" t="s">
        <v>586</v>
      </c>
      <c r="H99" s="3" t="s">
        <v>587</v>
      </c>
      <c r="I99" s="3" t="s">
        <v>422</v>
      </c>
      <c r="J99" s="3" t="s">
        <v>588</v>
      </c>
      <c r="K99" s="5" t="s">
        <v>159</v>
      </c>
      <c r="L99" s="5" t="s">
        <v>64</v>
      </c>
      <c r="M99" s="5" t="s">
        <v>589</v>
      </c>
      <c r="N99" s="3" t="s">
        <v>115</v>
      </c>
      <c r="O99" s="6">
        <v>5653</v>
      </c>
      <c r="P99" s="6">
        <v>6258</v>
      </c>
      <c r="Q99" s="6">
        <f>P99-O99</f>
      </c>
      <c r="R99" s="7">
        <v>600</v>
      </c>
      <c r="S99" s="6">
        <f>IF(Q99-R99&lt;0,"0",Q99-R99)</f>
      </c>
      <c r="T99" s="6">
        <v>0</v>
      </c>
      <c r="U99" s="8">
        <v>46169.29166666667</v>
      </c>
      <c r="V99" s="8">
        <v>46170.30069444445</v>
      </c>
      <c r="W99" s="9">
        <f>V99-U99</f>
      </c>
      <c r="X99" s="10">
        <v>0.625</v>
      </c>
      <c r="Y99" s="9">
        <f>IF(W99-X99&lt;0,"00:00:00",W99-X99)</f>
      </c>
      <c r="Z99" s="11">
        <v>145</v>
      </c>
      <c r="AA99" s="11">
        <v>6.9</v>
      </c>
      <c r="AB99" s="12">
        <f>Y99*Z99*24</f>
      </c>
      <c r="AC99" s="12">
        <f>S99*AA99</f>
      </c>
      <c r="AD99" s="12">
        <f>T99*AA99</f>
      </c>
      <c r="AE99" s="11">
        <v>4140</v>
      </c>
      <c r="AF99" s="12">
        <v>29.6</v>
      </c>
      <c r="AG99" s="12">
        <f>SUM(AB99:AF99)</f>
      </c>
      <c r="AH99" s="3"/>
      <c r="AI99" s="3"/>
      <c r="AJ99" s="3"/>
      <c r="AK99" s="3"/>
      <c r="AL99" s="3"/>
    </row>
    <row r="100" ht="18" customHeight="1" spans="1:38" x14ac:dyDescent="0.25">
      <c r="A100" s="3" t="s">
        <v>37</v>
      </c>
      <c r="B100" s="3" t="s">
        <v>38</v>
      </c>
      <c r="C100" s="3" t="s">
        <v>39</v>
      </c>
      <c r="D100" s="3" t="s">
        <v>40</v>
      </c>
      <c r="E100" s="3" t="s">
        <v>590</v>
      </c>
      <c r="F100" s="3" t="s">
        <v>591</v>
      </c>
      <c r="G100" s="3" t="s">
        <v>592</v>
      </c>
      <c r="H100" s="3" t="s">
        <v>593</v>
      </c>
      <c r="I100" s="3" t="s">
        <v>204</v>
      </c>
      <c r="J100" s="3" t="s">
        <v>594</v>
      </c>
      <c r="K100" s="5" t="s">
        <v>159</v>
      </c>
      <c r="L100" s="5" t="s">
        <v>64</v>
      </c>
      <c r="M100" s="5" t="s">
        <v>595</v>
      </c>
      <c r="N100" s="3" t="s">
        <v>235</v>
      </c>
      <c r="O100" s="6">
        <v>21992</v>
      </c>
      <c r="P100" s="6">
        <v>23002</v>
      </c>
      <c r="Q100" s="6">
        <f>P100-O100</f>
      </c>
      <c r="R100" s="7">
        <v>1000</v>
      </c>
      <c r="S100" s="6">
        <f>IF(Q100-R100&lt;0,"0",Q100-R100)</f>
      </c>
      <c r="T100" s="6">
        <v>0</v>
      </c>
      <c r="U100" s="8">
        <v>46169.29166666667</v>
      </c>
      <c r="V100" s="8">
        <v>46171.38541666667</v>
      </c>
      <c r="W100" s="9">
        <f>V100-U100</f>
      </c>
      <c r="X100" s="10">
        <v>1.0416666666666667</v>
      </c>
      <c r="Y100" s="9">
        <f>IF(W100-X100&lt;0,"00:00:00",W100-X100)</f>
      </c>
      <c r="Z100" s="11">
        <v>145</v>
      </c>
      <c r="AA100" s="11">
        <v>6.9</v>
      </c>
      <c r="AB100" s="12">
        <f>Y100*Z100*24</f>
      </c>
      <c r="AC100" s="12">
        <f>S100*AA100</f>
      </c>
      <c r="AD100" s="12">
        <f>T100*AA100</f>
      </c>
      <c r="AE100" s="11">
        <v>6899.999999999999</v>
      </c>
      <c r="AF100" s="12">
        <v>180.31</v>
      </c>
      <c r="AG100" s="12">
        <f>SUM(AB100:AF100)</f>
      </c>
      <c r="AH100" s="3"/>
      <c r="AI100" s="3"/>
      <c r="AJ100" s="3"/>
      <c r="AK100" s="3"/>
      <c r="AL100" s="3"/>
    </row>
    <row r="101" ht="18" customHeight="1" spans="1:38" x14ac:dyDescent="0.25">
      <c r="A101" s="3" t="s">
        <v>37</v>
      </c>
      <c r="B101" s="3" t="s">
        <v>38</v>
      </c>
      <c r="C101" s="3" t="s">
        <v>39</v>
      </c>
      <c r="D101" s="3" t="s">
        <v>40</v>
      </c>
      <c r="E101" s="3" t="s">
        <v>260</v>
      </c>
      <c r="F101" s="3" t="s">
        <v>596</v>
      </c>
      <c r="G101" s="3" t="s">
        <v>597</v>
      </c>
      <c r="H101" s="3" t="s">
        <v>598</v>
      </c>
      <c r="I101" s="3" t="s">
        <v>264</v>
      </c>
      <c r="J101" s="3" t="s">
        <v>599</v>
      </c>
      <c r="K101" s="5" t="s">
        <v>600</v>
      </c>
      <c r="L101" s="5" t="s">
        <v>92</v>
      </c>
      <c r="M101" s="5" t="s">
        <v>601</v>
      </c>
      <c r="N101" s="3" t="s">
        <v>92</v>
      </c>
      <c r="O101" s="6">
        <v>65142</v>
      </c>
      <c r="P101" s="6">
        <v>65149</v>
      </c>
      <c r="Q101" s="6">
        <f>P101-O101</f>
      </c>
      <c r="R101" s="7">
        <v>100</v>
      </c>
      <c r="S101" s="6">
        <f>IF(Q101-R101&lt;0,"0",Q101-R101)</f>
      </c>
      <c r="T101" s="6">
        <v>0</v>
      </c>
      <c r="U101" s="8">
        <v>46169.34583333333</v>
      </c>
      <c r="V101" s="8">
        <v>46169.47083333333</v>
      </c>
      <c r="W101" s="9">
        <f>V101-U101</f>
      </c>
      <c r="X101" s="10">
        <v>0.125</v>
      </c>
      <c r="Y101" s="9">
        <f>IF(W101-X101&lt;0,"00:00:00",W101-X101)</f>
      </c>
      <c r="Z101" s="11">
        <v>145</v>
      </c>
      <c r="AA101" s="11">
        <v>6.9</v>
      </c>
      <c r="AB101" s="12">
        <f>Y101*Z101*24</f>
      </c>
      <c r="AC101" s="12">
        <f>S101*AA101</f>
      </c>
      <c r="AD101" s="12">
        <f>T101*AA101</f>
      </c>
      <c r="AE101" s="11">
        <v>690</v>
      </c>
      <c r="AF101" s="12">
        <v>0</v>
      </c>
      <c r="AG101" s="12">
        <f>SUM(AB101:AF101)</f>
      </c>
      <c r="AH101" s="3"/>
      <c r="AI101" s="3"/>
      <c r="AJ101" s="3"/>
      <c r="AK101" s="3"/>
      <c r="AL101" s="3"/>
    </row>
    <row r="102" ht="18" customHeight="1" spans="1:38" x14ac:dyDescent="0.25">
      <c r="A102" s="3" t="s">
        <v>37</v>
      </c>
      <c r="B102" s="3" t="s">
        <v>38</v>
      </c>
      <c r="C102" s="3" t="s">
        <v>39</v>
      </c>
      <c r="D102" s="3" t="s">
        <v>40</v>
      </c>
      <c r="E102" s="3" t="s">
        <v>57</v>
      </c>
      <c r="F102" s="3" t="s">
        <v>602</v>
      </c>
      <c r="G102" s="3" t="s">
        <v>603</v>
      </c>
      <c r="H102" s="3" t="s">
        <v>604</v>
      </c>
      <c r="I102" s="3" t="s">
        <v>188</v>
      </c>
      <c r="J102" s="3" t="s">
        <v>454</v>
      </c>
      <c r="K102" s="5" t="s">
        <v>63</v>
      </c>
      <c r="L102" s="5" t="s">
        <v>64</v>
      </c>
      <c r="M102" s="5" t="s">
        <v>65</v>
      </c>
      <c r="N102" s="4" t="s">
        <v>46</v>
      </c>
      <c r="O102" s="6">
        <v>201238</v>
      </c>
      <c r="P102" s="6">
        <v>201440</v>
      </c>
      <c r="Q102" s="6">
        <f>P102-O102</f>
      </c>
      <c r="R102" s="7">
        <v>200</v>
      </c>
      <c r="S102" s="6">
        <f>IF(Q102-R102&lt;0,"0",Q102-R102)</f>
      </c>
      <c r="T102" s="6">
        <v>0</v>
      </c>
      <c r="U102" s="8">
        <v>46169.04861111111</v>
      </c>
      <c r="V102" s="8">
        <v>46169.256944444445</v>
      </c>
      <c r="W102" s="9">
        <f>V102-U102</f>
      </c>
      <c r="X102" s="10">
        <v>0.20833333333333334</v>
      </c>
      <c r="Y102" s="9">
        <f>IF(W102-X102&lt;0,"00:00:00",W102-X102)</f>
      </c>
      <c r="Z102" s="11">
        <v>145</v>
      </c>
      <c r="AA102" s="11">
        <v>6.9</v>
      </c>
      <c r="AB102" s="12">
        <f>Y102*Z102*24</f>
      </c>
      <c r="AC102" s="12">
        <f>S102*AA102</f>
      </c>
      <c r="AD102" s="12">
        <f>T102*AA102</f>
      </c>
      <c r="AE102" s="11">
        <v>1366.2</v>
      </c>
      <c r="AF102" s="12">
        <v>35</v>
      </c>
      <c r="AG102" s="12">
        <f>SUM(AB102:AF102)</f>
      </c>
      <c r="AH102" s="3"/>
      <c r="AI102" s="3"/>
      <c r="AJ102" s="3"/>
      <c r="AK102" s="3"/>
      <c r="AL102" s="3"/>
    </row>
    <row r="103" ht="18" customHeight="1" spans="1:38" x14ac:dyDescent="0.25">
      <c r="A103" s="3" t="s">
        <v>37</v>
      </c>
      <c r="B103" s="3" t="s">
        <v>38</v>
      </c>
      <c r="C103" s="3" t="s">
        <v>39</v>
      </c>
      <c r="D103" s="3" t="s">
        <v>40</v>
      </c>
      <c r="E103" s="3" t="s">
        <v>116</v>
      </c>
      <c r="F103" s="3" t="s">
        <v>605</v>
      </c>
      <c r="G103" s="3" t="s">
        <v>606</v>
      </c>
      <c r="H103" s="3" t="s">
        <v>607</v>
      </c>
      <c r="I103" s="3" t="s">
        <v>444</v>
      </c>
      <c r="J103" s="3" t="s">
        <v>608</v>
      </c>
      <c r="K103" s="5" t="s">
        <v>63</v>
      </c>
      <c r="L103" s="5" t="s">
        <v>64</v>
      </c>
      <c r="M103" s="5" t="s">
        <v>609</v>
      </c>
      <c r="N103" s="3" t="s">
        <v>64</v>
      </c>
      <c r="O103" s="6">
        <v>14677</v>
      </c>
      <c r="P103" s="6">
        <v>14714</v>
      </c>
      <c r="Q103" s="6">
        <f>P103-O103</f>
      </c>
      <c r="R103" s="7">
        <v>100</v>
      </c>
      <c r="S103" s="6">
        <f>IF(Q103-R103&lt;0,"0",Q103-R103)</f>
      </c>
      <c r="T103" s="6">
        <v>0</v>
      </c>
      <c r="U103" s="8">
        <v>46169.194444444445</v>
      </c>
      <c r="V103" s="8">
        <v>46169.319444444445</v>
      </c>
      <c r="W103" s="9">
        <f>V103-U103</f>
      </c>
      <c r="X103" s="10">
        <v>0.125</v>
      </c>
      <c r="Y103" s="9">
        <f>IF(W103-X103&lt;0,"00:00:00",W103-X103)</f>
      </c>
      <c r="Z103" s="11">
        <v>145</v>
      </c>
      <c r="AA103" s="11">
        <v>6.9</v>
      </c>
      <c r="AB103" s="12">
        <f>Y103*Z103*24</f>
      </c>
      <c r="AC103" s="12">
        <f>S103*AA103</f>
      </c>
      <c r="AD103" s="12">
        <f>T103*AA103</f>
      </c>
      <c r="AE103" s="11">
        <v>690</v>
      </c>
      <c r="AF103" s="12">
        <v>9.4</v>
      </c>
      <c r="AG103" s="12">
        <f>SUM(AB103:AF103)</f>
      </c>
      <c r="AH103" s="3"/>
      <c r="AI103" s="3"/>
      <c r="AJ103" s="3"/>
      <c r="AK103" s="3"/>
      <c r="AL103" s="3"/>
    </row>
    <row r="104" ht="18" customHeight="1" spans="1:38" x14ac:dyDescent="0.25">
      <c r="A104" s="3" t="s">
        <v>37</v>
      </c>
      <c r="B104" s="3" t="s">
        <v>38</v>
      </c>
      <c r="C104" s="3" t="s">
        <v>39</v>
      </c>
      <c r="D104" s="3" t="s">
        <v>40</v>
      </c>
      <c r="E104" s="3" t="s">
        <v>116</v>
      </c>
      <c r="F104" s="3" t="s">
        <v>610</v>
      </c>
      <c r="G104" s="3" t="s">
        <v>611</v>
      </c>
      <c r="H104" s="3" t="s">
        <v>612</v>
      </c>
      <c r="I104" s="3" t="s">
        <v>215</v>
      </c>
      <c r="J104" s="3" t="s">
        <v>613</v>
      </c>
      <c r="K104" s="5" t="s">
        <v>614</v>
      </c>
      <c r="L104" s="5" t="s">
        <v>64</v>
      </c>
      <c r="M104" s="5" t="s">
        <v>615</v>
      </c>
      <c r="N104" s="3" t="s">
        <v>64</v>
      </c>
      <c r="O104" s="6">
        <v>97814</v>
      </c>
      <c r="P104" s="6">
        <v>97871</v>
      </c>
      <c r="Q104" s="6">
        <f>P104-O104</f>
      </c>
      <c r="R104" s="7">
        <v>100</v>
      </c>
      <c r="S104" s="6">
        <f>IF(Q104-R104&lt;0,"0",Q104-R104)</f>
      </c>
      <c r="T104" s="6">
        <v>0</v>
      </c>
      <c r="U104" s="8">
        <v>46169.25</v>
      </c>
      <c r="V104" s="8">
        <v>46169.375</v>
      </c>
      <c r="W104" s="9">
        <f>V104-U104</f>
      </c>
      <c r="X104" s="10">
        <v>0.125</v>
      </c>
      <c r="Y104" s="9">
        <f>IF(W104-X104&lt;0,"00:00:00",W104-X104)</f>
      </c>
      <c r="Z104" s="11">
        <v>145</v>
      </c>
      <c r="AA104" s="11">
        <v>6.9</v>
      </c>
      <c r="AB104" s="12">
        <f>Y104*Z104*24</f>
      </c>
      <c r="AC104" s="12">
        <f>S104*AA104</f>
      </c>
      <c r="AD104" s="12">
        <f>T104*AA104</f>
      </c>
      <c r="AE104" s="11">
        <v>690</v>
      </c>
      <c r="AF104" s="12">
        <v>25.7</v>
      </c>
      <c r="AG104" s="12">
        <f>SUM(AB104:AF104)</f>
      </c>
      <c r="AH104" s="3"/>
      <c r="AI104" s="3"/>
      <c r="AJ104" s="3"/>
      <c r="AK104" s="3"/>
      <c r="AL104" s="3"/>
    </row>
    <row r="105" ht="18" customHeight="1" spans="1:38" x14ac:dyDescent="0.25">
      <c r="A105" s="3" t="s">
        <v>37</v>
      </c>
      <c r="B105" s="3" t="s">
        <v>38</v>
      </c>
      <c r="C105" s="3" t="s">
        <v>39</v>
      </c>
      <c r="D105" s="3" t="s">
        <v>40</v>
      </c>
      <c r="E105" s="3" t="s">
        <v>616</v>
      </c>
      <c r="F105" s="3" t="s">
        <v>617</v>
      </c>
      <c r="G105" s="3" t="s">
        <v>618</v>
      </c>
      <c r="H105" s="3" t="s">
        <v>619</v>
      </c>
      <c r="I105" s="3" t="s">
        <v>120</v>
      </c>
      <c r="J105" s="3" t="s">
        <v>620</v>
      </c>
      <c r="K105" s="5" t="s">
        <v>159</v>
      </c>
      <c r="L105" s="5" t="s">
        <v>64</v>
      </c>
      <c r="M105" s="5" t="s">
        <v>621</v>
      </c>
      <c r="N105" s="3" t="s">
        <v>329</v>
      </c>
      <c r="O105" s="6">
        <v>23822</v>
      </c>
      <c r="P105" s="6">
        <v>26539</v>
      </c>
      <c r="Q105" s="6">
        <f>P105-O105</f>
      </c>
      <c r="R105" s="7">
        <v>2700</v>
      </c>
      <c r="S105" s="6">
        <f>IF(Q105-R105&lt;0,"0",Q105-R105)</f>
      </c>
      <c r="T105" s="6">
        <v>0</v>
      </c>
      <c r="U105" s="8">
        <v>46170.20833333333</v>
      </c>
      <c r="V105" s="8">
        <v>46174.506944444445</v>
      </c>
      <c r="W105" s="9">
        <f>V105-U105</f>
      </c>
      <c r="X105" s="10">
        <v>3.75</v>
      </c>
      <c r="Y105" s="9">
        <f>IF(W105-X105&lt;0,"00:00:00",W105-X105)</f>
      </c>
      <c r="Z105" s="11">
        <v>145</v>
      </c>
      <c r="AA105" s="11">
        <v>6.9</v>
      </c>
      <c r="AB105" s="12">
        <f>Y105*Z105*24</f>
      </c>
      <c r="AC105" s="12">
        <f>S105*AA105</f>
      </c>
      <c r="AD105" s="12">
        <f>T105*AA105</f>
      </c>
      <c r="AE105" s="11">
        <v>22635.930000000004</v>
      </c>
      <c r="AF105" s="12">
        <v>29.5</v>
      </c>
      <c r="AG105" s="12">
        <f>SUM(AB105:AF105)</f>
      </c>
      <c r="AH105" s="3"/>
      <c r="AI105" s="3"/>
      <c r="AJ105" s="3"/>
      <c r="AK105" s="3"/>
      <c r="AL105" s="3"/>
    </row>
    <row r="106" ht="18" customHeight="1" spans="1:38" x14ac:dyDescent="0.25">
      <c r="A106" s="3" t="s">
        <v>37</v>
      </c>
      <c r="B106" s="3" t="s">
        <v>38</v>
      </c>
      <c r="C106" s="3" t="s">
        <v>39</v>
      </c>
      <c r="D106" s="3" t="s">
        <v>40</v>
      </c>
      <c r="E106" s="3" t="s">
        <v>622</v>
      </c>
      <c r="F106" s="3" t="s">
        <v>623</v>
      </c>
      <c r="G106" s="3" t="s">
        <v>624</v>
      </c>
      <c r="H106" s="3" t="s">
        <v>625</v>
      </c>
      <c r="I106" s="3" t="s">
        <v>626</v>
      </c>
      <c r="J106" s="3" t="s">
        <v>627</v>
      </c>
      <c r="K106" s="5" t="s">
        <v>600</v>
      </c>
      <c r="L106" s="5" t="s">
        <v>92</v>
      </c>
      <c r="M106" s="5" t="s">
        <v>628</v>
      </c>
      <c r="N106" s="3" t="s">
        <v>92</v>
      </c>
      <c r="O106" s="6">
        <v>178738</v>
      </c>
      <c r="P106" s="6">
        <v>178751</v>
      </c>
      <c r="Q106" s="6">
        <f>P106-O106</f>
      </c>
      <c r="R106" s="7">
        <v>100</v>
      </c>
      <c r="S106" s="6">
        <f>IF(Q106-R106&lt;0,"0",Q106-R106)</f>
      </c>
      <c r="T106" s="6">
        <v>0</v>
      </c>
      <c r="U106" s="8">
        <v>46170.35416666667</v>
      </c>
      <c r="V106" s="8">
        <v>46170.48888888889</v>
      </c>
      <c r="W106" s="9">
        <f>V106-U106</f>
      </c>
      <c r="X106" s="10">
        <v>0.125</v>
      </c>
      <c r="Y106" s="9">
        <f>IF(W106-X106&lt;0,"00:00:00",W106-X106)</f>
      </c>
      <c r="Z106" s="11">
        <v>145</v>
      </c>
      <c r="AA106" s="11">
        <v>6.9</v>
      </c>
      <c r="AB106" s="12">
        <f>Y106*Z106*24</f>
      </c>
      <c r="AC106" s="12">
        <f>S106*AA106</f>
      </c>
      <c r="AD106" s="12">
        <f>T106*AA106</f>
      </c>
      <c r="AE106" s="11">
        <v>690</v>
      </c>
      <c r="AF106" s="12">
        <v>0</v>
      </c>
      <c r="AG106" s="12">
        <f>SUM(AB106:AF106)</f>
      </c>
      <c r="AH106" s="3"/>
      <c r="AI106" s="3"/>
      <c r="AJ106" s="3"/>
      <c r="AK106" s="3"/>
      <c r="AL106" s="3"/>
    </row>
    <row r="107" ht="18" customHeight="1" spans="1:38" x14ac:dyDescent="0.25">
      <c r="A107" s="3" t="s">
        <v>37</v>
      </c>
      <c r="B107" s="3" t="s">
        <v>38</v>
      </c>
      <c r="C107" s="3" t="s">
        <v>39</v>
      </c>
      <c r="D107" s="3" t="s">
        <v>40</v>
      </c>
      <c r="E107" s="3" t="s">
        <v>111</v>
      </c>
      <c r="F107" s="3" t="s">
        <v>629</v>
      </c>
      <c r="G107" s="3" t="s">
        <v>630</v>
      </c>
      <c r="H107" s="3" t="s">
        <v>631</v>
      </c>
      <c r="I107" s="3" t="s">
        <v>459</v>
      </c>
      <c r="J107" s="3" t="s">
        <v>632</v>
      </c>
      <c r="K107" s="5" t="s">
        <v>633</v>
      </c>
      <c r="L107" s="5" t="s">
        <v>115</v>
      </c>
      <c r="M107" s="5" t="s">
        <v>634</v>
      </c>
      <c r="N107" s="3" t="s">
        <v>64</v>
      </c>
      <c r="O107" s="6">
        <v>98265</v>
      </c>
      <c r="P107" s="6">
        <v>98367</v>
      </c>
      <c r="Q107" s="6">
        <f>P107-O107</f>
      </c>
      <c r="R107" s="7">
        <v>100</v>
      </c>
      <c r="S107" s="6">
        <f>IF(Q107-R107&lt;0,"0",Q107-R107)</f>
      </c>
      <c r="T107" s="6">
        <v>0</v>
      </c>
      <c r="U107" s="8">
        <v>46169.84027777778</v>
      </c>
      <c r="V107" s="8">
        <v>46169.96527777778</v>
      </c>
      <c r="W107" s="9">
        <f>V107-U107</f>
      </c>
      <c r="X107" s="10">
        <v>0.125</v>
      </c>
      <c r="Y107" s="9">
        <f>IF(W107-X107&lt;0,"00:00:00",W107-X107)</f>
      </c>
      <c r="Z107" s="11">
        <v>145</v>
      </c>
      <c r="AA107" s="11">
        <v>6.9</v>
      </c>
      <c r="AB107" s="12">
        <f>Y107*Z107*24</f>
      </c>
      <c r="AC107" s="12">
        <f>S107*AA107</f>
      </c>
      <c r="AD107" s="12">
        <f>T107*AA107</f>
      </c>
      <c r="AE107" s="11">
        <v>690</v>
      </c>
      <c r="AF107" s="12">
        <v>7.4</v>
      </c>
      <c r="AG107" s="12">
        <f>SUM(AB107:AF107)</f>
      </c>
      <c r="AH107" s="3"/>
      <c r="AI107" s="3"/>
      <c r="AJ107" s="3"/>
      <c r="AK107" s="3"/>
      <c r="AL107" s="3"/>
    </row>
    <row r="108" ht="18" customHeight="1" spans="1:38" x14ac:dyDescent="0.25">
      <c r="A108" s="3" t="s">
        <v>37</v>
      </c>
      <c r="B108" s="3" t="s">
        <v>38</v>
      </c>
      <c r="C108" s="3" t="s">
        <v>39</v>
      </c>
      <c r="D108" s="3" t="s">
        <v>40</v>
      </c>
      <c r="E108" s="3" t="s">
        <v>111</v>
      </c>
      <c r="F108" s="3" t="s">
        <v>635</v>
      </c>
      <c r="G108" s="3" t="s">
        <v>630</v>
      </c>
      <c r="H108" s="3" t="s">
        <v>636</v>
      </c>
      <c r="I108" s="3" t="s">
        <v>459</v>
      </c>
      <c r="J108" s="3" t="s">
        <v>632</v>
      </c>
      <c r="K108" s="5" t="s">
        <v>633</v>
      </c>
      <c r="L108" s="5" t="s">
        <v>115</v>
      </c>
      <c r="M108" s="5" t="s">
        <v>634</v>
      </c>
      <c r="N108" s="3" t="s">
        <v>64</v>
      </c>
      <c r="O108" s="6">
        <v>252178</v>
      </c>
      <c r="P108" s="6">
        <v>252289</v>
      </c>
      <c r="Q108" s="6">
        <f>P108-O108</f>
      </c>
      <c r="R108" s="7">
        <v>100</v>
      </c>
      <c r="S108" s="6">
        <f>IF(Q108-R108&lt;0,"0",Q108-R108)</f>
      </c>
      <c r="T108" s="6">
        <v>0</v>
      </c>
      <c r="U108" s="8">
        <v>46169.84027777778</v>
      </c>
      <c r="V108" s="8">
        <v>46169.96527777778</v>
      </c>
      <c r="W108" s="9">
        <f>V108-U108</f>
      </c>
      <c r="X108" s="10">
        <v>0.125</v>
      </c>
      <c r="Y108" s="9">
        <f>IF(W108-X108&lt;0,"00:00:00",W108-X108)</f>
      </c>
      <c r="Z108" s="11">
        <v>145</v>
      </c>
      <c r="AA108" s="11">
        <v>6.9</v>
      </c>
      <c r="AB108" s="12">
        <f>Y108*Z108*24</f>
      </c>
      <c r="AC108" s="12">
        <f>S108*AA108</f>
      </c>
      <c r="AD108" s="12">
        <f>T108*AA108</f>
      </c>
      <c r="AE108" s="11">
        <v>690</v>
      </c>
      <c r="AF108" s="12">
        <v>7.4</v>
      </c>
      <c r="AG108" s="12">
        <f>SUM(AB108:AF108)</f>
      </c>
      <c r="AH108" s="3"/>
      <c r="AI108" s="3"/>
      <c r="AJ108" s="3"/>
      <c r="AK108" s="3"/>
      <c r="AL108" s="3"/>
    </row>
    <row r="109" ht="18" customHeight="1" spans="1:38" x14ac:dyDescent="0.25">
      <c r="A109" s="3" t="s">
        <v>37</v>
      </c>
      <c r="B109" s="3" t="s">
        <v>38</v>
      </c>
      <c r="C109" s="3" t="s">
        <v>39</v>
      </c>
      <c r="D109" s="3" t="s">
        <v>40</v>
      </c>
      <c r="E109" s="3" t="s">
        <v>141</v>
      </c>
      <c r="F109" s="3" t="s">
        <v>637</v>
      </c>
      <c r="G109" s="3" t="s">
        <v>638</v>
      </c>
      <c r="H109" s="3" t="s">
        <v>639</v>
      </c>
      <c r="I109" s="3" t="s">
        <v>126</v>
      </c>
      <c r="J109" s="3" t="s">
        <v>640</v>
      </c>
      <c r="K109" s="5" t="s">
        <v>641</v>
      </c>
      <c r="L109" s="5" t="s">
        <v>115</v>
      </c>
      <c r="M109" s="5" t="s">
        <v>65</v>
      </c>
      <c r="N109" s="4" t="s">
        <v>46</v>
      </c>
      <c r="O109" s="6">
        <v>125959</v>
      </c>
      <c r="P109" s="6">
        <v>126207</v>
      </c>
      <c r="Q109" s="6">
        <f>P109-O109</f>
      </c>
      <c r="R109" s="7">
        <v>200</v>
      </c>
      <c r="S109" s="6">
        <f>IF(Q109-R109&lt;0,"0",Q109-R109)</f>
      </c>
      <c r="T109" s="6">
        <v>0</v>
      </c>
      <c r="U109" s="8">
        <v>46169.85416666667</v>
      </c>
      <c r="V109" s="8">
        <v>46170.0625</v>
      </c>
      <c r="W109" s="9">
        <f>V109-U109</f>
      </c>
      <c r="X109" s="10">
        <v>0.20833333333333334</v>
      </c>
      <c r="Y109" s="9">
        <f>IF(W109-X109&lt;0,"00:00:00",W109-X109)</f>
      </c>
      <c r="Z109" s="11">
        <v>145</v>
      </c>
      <c r="AA109" s="11">
        <v>6.9</v>
      </c>
      <c r="AB109" s="12">
        <f>Y109*Z109*24</f>
      </c>
      <c r="AC109" s="12">
        <f>S109*AA109</f>
      </c>
      <c r="AD109" s="12">
        <f>T109*AA109</f>
      </c>
      <c r="AE109" s="11">
        <v>1048.8</v>
      </c>
      <c r="AF109" s="12">
        <v>35</v>
      </c>
      <c r="AG109" s="12">
        <f>SUM(AB109:AF109)</f>
      </c>
      <c r="AH109" s="3"/>
      <c r="AI109" s="3"/>
      <c r="AJ109" s="3"/>
      <c r="AK109" s="3"/>
      <c r="AL109" s="3"/>
    </row>
    <row r="110" ht="18" customHeight="1" spans="1:38" x14ac:dyDescent="0.25">
      <c r="A110" s="3" t="s">
        <v>37</v>
      </c>
      <c r="B110" s="3" t="s">
        <v>38</v>
      </c>
      <c r="C110" s="3" t="s">
        <v>39</v>
      </c>
      <c r="D110" s="3" t="s">
        <v>110</v>
      </c>
      <c r="E110" s="3" t="s">
        <v>642</v>
      </c>
      <c r="F110" s="3" t="s">
        <v>643</v>
      </c>
      <c r="G110" s="3" t="s">
        <v>644</v>
      </c>
      <c r="H110" s="3" t="s">
        <v>645</v>
      </c>
      <c r="I110" s="3" t="s">
        <v>646</v>
      </c>
      <c r="J110" s="3" t="s">
        <v>647</v>
      </c>
      <c r="K110" s="5" t="s">
        <v>648</v>
      </c>
      <c r="L110" s="5" t="s">
        <v>64</v>
      </c>
      <c r="M110" s="5" t="s">
        <v>649</v>
      </c>
      <c r="N110" s="3" t="s">
        <v>115</v>
      </c>
      <c r="O110" s="6">
        <v>0</v>
      </c>
      <c r="P110" s="6">
        <v>0</v>
      </c>
      <c r="Q110" s="6">
        <f>P110-O110</f>
      </c>
      <c r="R110" s="7">
        <v>100</v>
      </c>
      <c r="S110" s="6">
        <f>IF(Q110-R110&lt;0,"0",Q110-R110)</f>
      </c>
      <c r="T110" s="6">
        <v>0</v>
      </c>
      <c r="U110" s="8">
        <v>46170.41666666667</v>
      </c>
      <c r="V110" s="8">
        <v>46170.64583333333</v>
      </c>
      <c r="W110" s="9">
        <f>V110-U110</f>
      </c>
      <c r="X110" s="10">
        <v>0.125</v>
      </c>
      <c r="Y110" s="9">
        <f>IF(W110-X110&lt;0,"00:00:00",W110-X110)</f>
      </c>
      <c r="Z110" s="11">
        <v>145</v>
      </c>
      <c r="AA110" s="11">
        <v>6.9</v>
      </c>
      <c r="AB110" s="12">
        <f>Y110*Z110*24</f>
      </c>
      <c r="AC110" s="12">
        <f>S110*AA110</f>
      </c>
      <c r="AD110" s="12">
        <f>T110*AA110</f>
      </c>
      <c r="AE110" s="11">
        <v>690</v>
      </c>
      <c r="AF110" s="12">
        <v>0</v>
      </c>
      <c r="AG110" s="12">
        <f>SUM(AB110:AF110)</f>
      </c>
      <c r="AH110" s="3"/>
      <c r="AI110" s="3"/>
      <c r="AJ110" s="3"/>
      <c r="AK110" s="3"/>
      <c r="AL110" s="3"/>
    </row>
    <row r="111" ht="18" customHeight="1" spans="1:38" x14ac:dyDescent="0.25">
      <c r="A111" s="3" t="s">
        <v>37</v>
      </c>
      <c r="B111" s="3" t="s">
        <v>38</v>
      </c>
      <c r="C111" s="3" t="s">
        <v>39</v>
      </c>
      <c r="D111" s="3" t="s">
        <v>110</v>
      </c>
      <c r="E111" s="3" t="s">
        <v>642</v>
      </c>
      <c r="F111" s="3" t="s">
        <v>650</v>
      </c>
      <c r="G111" s="3" t="s">
        <v>644</v>
      </c>
      <c r="H111" s="3" t="s">
        <v>651</v>
      </c>
      <c r="I111" s="3" t="s">
        <v>177</v>
      </c>
      <c r="J111" s="3" t="s">
        <v>647</v>
      </c>
      <c r="K111" s="5" t="s">
        <v>648</v>
      </c>
      <c r="L111" s="5" t="s">
        <v>64</v>
      </c>
      <c r="M111" s="5" t="s">
        <v>649</v>
      </c>
      <c r="N111" s="3" t="s">
        <v>115</v>
      </c>
      <c r="O111" s="6">
        <v>0</v>
      </c>
      <c r="P111" s="6">
        <v>0</v>
      </c>
      <c r="Q111" s="6">
        <f>P111-O111</f>
      </c>
      <c r="R111" s="7">
        <v>100</v>
      </c>
      <c r="S111" s="6">
        <f>IF(Q111-R111&lt;0,"0",Q111-R111)</f>
      </c>
      <c r="T111" s="6">
        <v>0</v>
      </c>
      <c r="U111" s="8">
        <v>46170.41666666667</v>
      </c>
      <c r="V111" s="8">
        <v>46170.54166666667</v>
      </c>
      <c r="W111" s="9">
        <f>V111-U111</f>
      </c>
      <c r="X111" s="10">
        <v>0.125</v>
      </c>
      <c r="Y111" s="9">
        <f>IF(W111-X111&lt;0,"00:00:00",W111-X111)</f>
      </c>
      <c r="Z111" s="11">
        <v>145</v>
      </c>
      <c r="AA111" s="11">
        <v>6.9</v>
      </c>
      <c r="AB111" s="12">
        <f>Y111*Z111*24</f>
      </c>
      <c r="AC111" s="12">
        <f>S111*AA111</f>
      </c>
      <c r="AD111" s="12">
        <f>T111*AA111</f>
      </c>
      <c r="AE111" s="11">
        <v>690</v>
      </c>
      <c r="AF111" s="12">
        <v>0</v>
      </c>
      <c r="AG111" s="12">
        <f>SUM(AB111:AF111)</f>
      </c>
      <c r="AH111" s="3"/>
      <c r="AI111" s="3"/>
      <c r="AJ111" s="3"/>
      <c r="AK111" s="3"/>
      <c r="AL111" s="3"/>
    </row>
    <row r="112" ht="18" customHeight="1" spans="1:38" x14ac:dyDescent="0.25">
      <c r="A112" s="3" t="s">
        <v>37</v>
      </c>
      <c r="B112" s="3" t="s">
        <v>38</v>
      </c>
      <c r="C112" s="3" t="s">
        <v>39</v>
      </c>
      <c r="D112" s="3" t="s">
        <v>40</v>
      </c>
      <c r="E112" s="3" t="s">
        <v>642</v>
      </c>
      <c r="F112" s="3" t="s">
        <v>652</v>
      </c>
      <c r="G112" s="3" t="s">
        <v>653</v>
      </c>
      <c r="H112" s="3" t="s">
        <v>654</v>
      </c>
      <c r="I112" s="3" t="s">
        <v>655</v>
      </c>
      <c r="J112" s="3" t="s">
        <v>656</v>
      </c>
      <c r="K112" s="5" t="s">
        <v>648</v>
      </c>
      <c r="L112" s="5" t="s">
        <v>64</v>
      </c>
      <c r="M112" s="5" t="s">
        <v>649</v>
      </c>
      <c r="N112" s="3" t="s">
        <v>115</v>
      </c>
      <c r="O112" s="6">
        <v>11915</v>
      </c>
      <c r="P112" s="6">
        <v>12042</v>
      </c>
      <c r="Q112" s="6">
        <f>P112-O112</f>
      </c>
      <c r="R112" s="7">
        <v>100</v>
      </c>
      <c r="S112" s="6">
        <f>IF(Q112-R112&lt;0,"0",Q112-R112)</f>
      </c>
      <c r="T112" s="6">
        <v>0</v>
      </c>
      <c r="U112" s="8">
        <v>46170.41666666667</v>
      </c>
      <c r="V112" s="8">
        <v>46170.65972222222</v>
      </c>
      <c r="W112" s="9">
        <f>V112-U112</f>
      </c>
      <c r="X112" s="10">
        <v>0.125</v>
      </c>
      <c r="Y112" s="9">
        <f>IF(W112-X112&lt;0,"00:00:00",W112-X112)</f>
      </c>
      <c r="Z112" s="11">
        <v>145</v>
      </c>
      <c r="AA112" s="11">
        <v>6.9</v>
      </c>
      <c r="AB112" s="12">
        <f>Y112*Z112*24</f>
      </c>
      <c r="AC112" s="12">
        <f>S112*AA112</f>
      </c>
      <c r="AD112" s="12">
        <f>T112*AA112</f>
      </c>
      <c r="AE112" s="11">
        <v>690.0000000000002</v>
      </c>
      <c r="AF112" s="12">
        <v>37.3</v>
      </c>
      <c r="AG112" s="12">
        <f>SUM(AB112:AF112)</f>
      </c>
      <c r="AH112" s="3"/>
      <c r="AI112" s="3"/>
      <c r="AJ112" s="3"/>
      <c r="AK112" s="3"/>
      <c r="AL112" s="3"/>
    </row>
    <row r="113" ht="18" customHeight="1" spans="1:38" x14ac:dyDescent="0.25">
      <c r="A113" s="3" t="s">
        <v>37</v>
      </c>
      <c r="B113" s="3" t="s">
        <v>38</v>
      </c>
      <c r="C113" s="3" t="s">
        <v>39</v>
      </c>
      <c r="D113" s="3" t="s">
        <v>110</v>
      </c>
      <c r="E113" s="3" t="s">
        <v>57</v>
      </c>
      <c r="F113" s="3" t="s">
        <v>657</v>
      </c>
      <c r="G113" s="3" t="s">
        <v>658</v>
      </c>
      <c r="H113" s="3" t="s">
        <v>659</v>
      </c>
      <c r="I113" s="3" t="s">
        <v>188</v>
      </c>
      <c r="J113" s="4" t="s">
        <v>46</v>
      </c>
      <c r="K113" s="5" t="s">
        <v>63</v>
      </c>
      <c r="L113" s="5" t="s">
        <v>64</v>
      </c>
      <c r="M113" s="5" t="s">
        <v>65</v>
      </c>
      <c r="N113" s="4" t="s">
        <v>46</v>
      </c>
      <c r="O113" s="6">
        <v>0</v>
      </c>
      <c r="P113" s="6">
        <v>0</v>
      </c>
      <c r="Q113" s="6">
        <f>P113-O113</f>
      </c>
      <c r="R113" s="7">
        <v>100</v>
      </c>
      <c r="S113" s="6">
        <f>IF(Q113-R113&lt;0,"0",Q113-R113)</f>
      </c>
      <c r="T113" s="6">
        <v>0</v>
      </c>
      <c r="U113" s="8">
        <v>46170.04166666667</v>
      </c>
      <c r="V113" s="8">
        <v>46170.16666666667</v>
      </c>
      <c r="W113" s="9">
        <f>V113-U113</f>
      </c>
      <c r="X113" s="10">
        <v>0.125</v>
      </c>
      <c r="Y113" s="9">
        <f>IF(W113-X113&lt;0,"00:00:00",W113-X113)</f>
      </c>
      <c r="Z113" s="11">
        <v>145</v>
      </c>
      <c r="AA113" s="11">
        <v>6.9</v>
      </c>
      <c r="AB113" s="12">
        <f>Y113*Z113*24</f>
      </c>
      <c r="AC113" s="12">
        <f>S113*AA113</f>
      </c>
      <c r="AD113" s="12">
        <f>T113*AA113</f>
      </c>
      <c r="AE113" s="11">
        <v>690</v>
      </c>
      <c r="AF113" s="12">
        <v>0</v>
      </c>
      <c r="AG113" s="12">
        <f>SUM(AB113:AF113)</f>
      </c>
      <c r="AH113" s="3"/>
      <c r="AI113" s="3"/>
      <c r="AJ113" s="3"/>
      <c r="AK113" s="3"/>
      <c r="AL113" s="3"/>
    </row>
    <row r="114" ht="18" customHeight="1" spans="1:38" x14ac:dyDescent="0.25">
      <c r="A114" s="3" t="s">
        <v>37</v>
      </c>
      <c r="B114" s="3" t="s">
        <v>38</v>
      </c>
      <c r="C114" s="3" t="s">
        <v>39</v>
      </c>
      <c r="D114" s="3" t="s">
        <v>40</v>
      </c>
      <c r="E114" s="3" t="s">
        <v>148</v>
      </c>
      <c r="F114" s="3" t="s">
        <v>660</v>
      </c>
      <c r="G114" s="3" t="s">
        <v>661</v>
      </c>
      <c r="H114" s="3" t="s">
        <v>662</v>
      </c>
      <c r="I114" s="3" t="s">
        <v>663</v>
      </c>
      <c r="J114" s="3" t="s">
        <v>664</v>
      </c>
      <c r="K114" s="5" t="s">
        <v>665</v>
      </c>
      <c r="L114" s="5" t="s">
        <v>48</v>
      </c>
      <c r="M114" s="5" t="s">
        <v>666</v>
      </c>
      <c r="N114" s="3" t="s">
        <v>320</v>
      </c>
      <c r="O114" s="6">
        <v>75935</v>
      </c>
      <c r="P114" s="6">
        <v>76135</v>
      </c>
      <c r="Q114" s="6">
        <f>P114-O114</f>
      </c>
      <c r="R114" s="7">
        <v>200</v>
      </c>
      <c r="S114" s="6">
        <f>IF(Q114-R114&lt;0,"0",Q114-R114)</f>
      </c>
      <c r="T114" s="6">
        <v>0</v>
      </c>
      <c r="U114" s="8">
        <v>46170.83333333333</v>
      </c>
      <c r="V114" s="8">
        <v>46171.11597222222</v>
      </c>
      <c r="W114" s="9">
        <f>V114-U114</f>
      </c>
      <c r="X114" s="10">
        <v>0.20833333333333334</v>
      </c>
      <c r="Y114" s="9">
        <f>IF(W114-X114&lt;0,"00:00:00",W114-X114)</f>
      </c>
      <c r="Z114" s="11">
        <v>145</v>
      </c>
      <c r="AA114" s="11">
        <v>7.35</v>
      </c>
      <c r="AB114" s="12">
        <f>Y114*Z114*24</f>
      </c>
      <c r="AC114" s="12">
        <f>S114*AA114</f>
      </c>
      <c r="AD114" s="12">
        <f>T114*AA114</f>
      </c>
      <c r="AE114" s="11">
        <v>1470</v>
      </c>
      <c r="AF114" s="12">
        <v>35</v>
      </c>
      <c r="AG114" s="12">
        <f>SUM(AB114:AF114)</f>
      </c>
      <c r="AH114" s="3"/>
      <c r="AI114" s="3"/>
      <c r="AJ114" s="3"/>
      <c r="AK114" s="3"/>
      <c r="AL114" s="3"/>
    </row>
    <row r="115" ht="18" customHeight="1" spans="1:38" x14ac:dyDescent="0.25">
      <c r="A115" s="3" t="s">
        <v>37</v>
      </c>
      <c r="B115" s="3" t="s">
        <v>38</v>
      </c>
      <c r="C115" s="3" t="s">
        <v>39</v>
      </c>
      <c r="D115" s="3" t="s">
        <v>40</v>
      </c>
      <c r="E115" s="3" t="s">
        <v>57</v>
      </c>
      <c r="F115" s="3" t="s">
        <v>667</v>
      </c>
      <c r="G115" s="3" t="s">
        <v>668</v>
      </c>
      <c r="H115" s="3" t="s">
        <v>669</v>
      </c>
      <c r="I115" s="3" t="s">
        <v>670</v>
      </c>
      <c r="J115" s="3" t="s">
        <v>492</v>
      </c>
      <c r="K115" s="5" t="s">
        <v>75</v>
      </c>
      <c r="L115" s="5" t="s">
        <v>64</v>
      </c>
      <c r="M115" s="5" t="s">
        <v>65</v>
      </c>
      <c r="N115" s="4" t="s">
        <v>46</v>
      </c>
      <c r="O115" s="6">
        <v>354349</v>
      </c>
      <c r="P115" s="6">
        <v>354425</v>
      </c>
      <c r="Q115" s="6">
        <f>P115-O115</f>
      </c>
      <c r="R115" s="7">
        <v>100</v>
      </c>
      <c r="S115" s="6">
        <f>IF(Q115-R115&lt;0,"0",Q115-R115)</f>
      </c>
      <c r="T115" s="6">
        <v>0</v>
      </c>
      <c r="U115" s="8">
        <v>46170.97916666667</v>
      </c>
      <c r="V115" s="8">
        <v>46171.1875</v>
      </c>
      <c r="W115" s="9">
        <f>V115-U115</f>
      </c>
      <c r="X115" s="10">
        <v>0.20833333333333334</v>
      </c>
      <c r="Y115" s="9">
        <f>IF(W115-X115&lt;0,"00:00:00",W115-X115)</f>
      </c>
      <c r="Z115" s="11">
        <v>145</v>
      </c>
      <c r="AA115" s="11">
        <v>6.9</v>
      </c>
      <c r="AB115" s="12">
        <f>Y115*Z115*24</f>
      </c>
      <c r="AC115" s="12">
        <f>S115*AA115</f>
      </c>
      <c r="AD115" s="12">
        <f>T115*AA115</f>
      </c>
      <c r="AE115" s="11">
        <v>1380</v>
      </c>
      <c r="AF115" s="12">
        <v>10.9</v>
      </c>
      <c r="AG115" s="12">
        <f>SUM(AB115:AF115)</f>
      </c>
      <c r="AH115" s="3"/>
      <c r="AI115" s="3"/>
      <c r="AJ115" s="3"/>
      <c r="AK115" s="3"/>
      <c r="AL115" s="3"/>
    </row>
    <row r="116" ht="18" customHeight="1" spans="1:38" x14ac:dyDescent="0.25">
      <c r="A116" s="3" t="s">
        <v>37</v>
      </c>
      <c r="B116" s="3" t="s">
        <v>38</v>
      </c>
      <c r="C116" s="3" t="s">
        <v>39</v>
      </c>
      <c r="D116" s="3" t="s">
        <v>40</v>
      </c>
      <c r="E116" s="3" t="s">
        <v>671</v>
      </c>
      <c r="F116" s="3" t="s">
        <v>672</v>
      </c>
      <c r="G116" s="3" t="s">
        <v>673</v>
      </c>
      <c r="H116" s="3" t="s">
        <v>674</v>
      </c>
      <c r="I116" s="3" t="s">
        <v>215</v>
      </c>
      <c r="J116" s="3" t="s">
        <v>675</v>
      </c>
      <c r="K116" s="5" t="s">
        <v>159</v>
      </c>
      <c r="L116" s="5" t="s">
        <v>64</v>
      </c>
      <c r="M116" s="5" t="s">
        <v>676</v>
      </c>
      <c r="N116" s="3" t="s">
        <v>320</v>
      </c>
      <c r="O116" s="6">
        <v>98670</v>
      </c>
      <c r="P116" s="6">
        <v>99105</v>
      </c>
      <c r="Q116" s="6">
        <f>P116-O116</f>
      </c>
      <c r="R116" s="7">
        <v>400</v>
      </c>
      <c r="S116" s="6">
        <f>IF(Q116-R116&lt;0,"0",Q116-R116)</f>
      </c>
      <c r="T116" s="6">
        <v>0</v>
      </c>
      <c r="U116" s="8">
        <v>46171.006944444445</v>
      </c>
      <c r="V116" s="8">
        <v>46171.42361111111</v>
      </c>
      <c r="W116" s="9">
        <f>V116-U116</f>
      </c>
      <c r="X116" s="10">
        <v>0.4166666666666667</v>
      </c>
      <c r="Y116" s="9">
        <f>IF(W116-X116&lt;0,"00:00:00",W116-X116)</f>
      </c>
      <c r="Z116" s="11">
        <v>145</v>
      </c>
      <c r="AA116" s="11">
        <v>6.9</v>
      </c>
      <c r="AB116" s="12">
        <f>Y116*Z116*24</f>
      </c>
      <c r="AC116" s="12">
        <f>S116*AA116</f>
      </c>
      <c r="AD116" s="12">
        <f>T116*AA116</f>
      </c>
      <c r="AE116" s="11">
        <v>2760</v>
      </c>
      <c r="AF116" s="12">
        <v>34.9</v>
      </c>
      <c r="AG116" s="12">
        <f>SUM(AB116:AF116)</f>
      </c>
      <c r="AH116" s="3"/>
      <c r="AI116" s="3"/>
      <c r="AJ116" s="3"/>
      <c r="AK116" s="3"/>
      <c r="AL116" s="3"/>
    </row>
    <row r="117" ht="18" customHeight="1" spans="1:38" x14ac:dyDescent="0.25">
      <c r="A117" s="3" t="s">
        <v>37</v>
      </c>
      <c r="B117" s="3" t="s">
        <v>38</v>
      </c>
      <c r="C117" s="3" t="s">
        <v>39</v>
      </c>
      <c r="D117" s="3" t="s">
        <v>40</v>
      </c>
      <c r="E117" s="3" t="s">
        <v>502</v>
      </c>
      <c r="F117" s="3" t="s">
        <v>677</v>
      </c>
      <c r="G117" s="3" t="s">
        <v>678</v>
      </c>
      <c r="H117" s="3" t="s">
        <v>679</v>
      </c>
      <c r="I117" s="3" t="s">
        <v>680</v>
      </c>
      <c r="J117" s="3" t="s">
        <v>681</v>
      </c>
      <c r="K117" s="5" t="s">
        <v>311</v>
      </c>
      <c r="L117" s="5" t="s">
        <v>101</v>
      </c>
      <c r="M117" s="5" t="s">
        <v>65</v>
      </c>
      <c r="N117" s="4" t="s">
        <v>46</v>
      </c>
      <c r="O117" s="6">
        <v>222902</v>
      </c>
      <c r="P117" s="6">
        <v>222921</v>
      </c>
      <c r="Q117" s="6">
        <f>P117-O117</f>
      </c>
      <c r="R117" s="7">
        <v>100</v>
      </c>
      <c r="S117" s="6">
        <f>IF(Q117-R117&lt;0,"0",Q117-R117)</f>
      </c>
      <c r="T117" s="6">
        <v>0</v>
      </c>
      <c r="U117" s="8">
        <v>46171.20833333333</v>
      </c>
      <c r="V117" s="8">
        <v>46171.33333333333</v>
      </c>
      <c r="W117" s="9">
        <f>V117-U117</f>
      </c>
      <c r="X117" s="10">
        <v>0.125</v>
      </c>
      <c r="Y117" s="9">
        <f>IF(W117-X117&lt;0,"00:00:00",W117-X117)</f>
      </c>
      <c r="Z117" s="11">
        <v>145</v>
      </c>
      <c r="AA117" s="11">
        <v>7.35</v>
      </c>
      <c r="AB117" s="12">
        <f>Y117*Z117*24</f>
      </c>
      <c r="AC117" s="12">
        <f>S117*AA117</f>
      </c>
      <c r="AD117" s="12">
        <f>T117*AA117</f>
      </c>
      <c r="AE117" s="11">
        <v>735</v>
      </c>
      <c r="AF117" s="12">
        <v>0</v>
      </c>
      <c r="AG117" s="12">
        <f>SUM(AB117:AF117)</f>
      </c>
      <c r="AH117" s="3"/>
      <c r="AI117" s="3"/>
      <c r="AJ117" s="3"/>
      <c r="AK117" s="3"/>
      <c r="AL117" s="3"/>
    </row>
    <row r="118" ht="18" customHeight="1" spans="1:38" x14ac:dyDescent="0.25">
      <c r="A118" s="3" t="s">
        <v>37</v>
      </c>
      <c r="B118" s="3" t="s">
        <v>38</v>
      </c>
      <c r="C118" s="3" t="s">
        <v>39</v>
      </c>
      <c r="D118" s="3" t="s">
        <v>40</v>
      </c>
      <c r="E118" s="3" t="s">
        <v>116</v>
      </c>
      <c r="F118" s="3" t="s">
        <v>682</v>
      </c>
      <c r="G118" s="3" t="s">
        <v>683</v>
      </c>
      <c r="H118" s="3" t="s">
        <v>684</v>
      </c>
      <c r="I118" s="3" t="s">
        <v>177</v>
      </c>
      <c r="J118" s="3" t="s">
        <v>685</v>
      </c>
      <c r="K118" s="5" t="s">
        <v>159</v>
      </c>
      <c r="L118" s="5" t="s">
        <v>64</v>
      </c>
      <c r="M118" s="5" t="s">
        <v>75</v>
      </c>
      <c r="N118" s="3" t="s">
        <v>64</v>
      </c>
      <c r="O118" s="6">
        <v>29424</v>
      </c>
      <c r="P118" s="6">
        <v>29513</v>
      </c>
      <c r="Q118" s="6">
        <f>P118-O118</f>
      </c>
      <c r="R118" s="7">
        <v>100</v>
      </c>
      <c r="S118" s="6">
        <f>IF(Q118-R118&lt;0,"0",Q118-R118)</f>
      </c>
      <c r="T118" s="6">
        <v>0</v>
      </c>
      <c r="U118" s="8">
        <v>46171.5625</v>
      </c>
      <c r="V118" s="8">
        <v>46171.73888888889</v>
      </c>
      <c r="W118" s="9">
        <f>V118-U118</f>
      </c>
      <c r="X118" s="10">
        <v>0.125</v>
      </c>
      <c r="Y118" s="9">
        <f>IF(W118-X118&lt;0,"00:00:00",W118-X118)</f>
      </c>
      <c r="Z118" s="11">
        <v>145</v>
      </c>
      <c r="AA118" s="11">
        <v>6.9</v>
      </c>
      <c r="AB118" s="12">
        <f>Y118*Z118*24</f>
      </c>
      <c r="AC118" s="12">
        <f>S118*AA118</f>
      </c>
      <c r="AD118" s="12">
        <f>T118*AA118</f>
      </c>
      <c r="AE118" s="11">
        <v>690</v>
      </c>
      <c r="AF118" s="12">
        <v>5.9</v>
      </c>
      <c r="AG118" s="12">
        <f>SUM(AB118:AF118)</f>
      </c>
      <c r="AH118" s="3"/>
      <c r="AI118" s="3"/>
      <c r="AJ118" s="3"/>
      <c r="AK118" s="3"/>
      <c r="AL118" s="3"/>
    </row>
    <row r="119" ht="18" customHeight="1" spans="1:38" x14ac:dyDescent="0.25">
      <c r="A119" s="3" t="s">
        <v>37</v>
      </c>
      <c r="B119" s="3" t="s">
        <v>38</v>
      </c>
      <c r="C119" s="3" t="s">
        <v>39</v>
      </c>
      <c r="D119" s="3" t="s">
        <v>40</v>
      </c>
      <c r="E119" s="3" t="s">
        <v>94</v>
      </c>
      <c r="F119" s="3" t="s">
        <v>686</v>
      </c>
      <c r="G119" s="3" t="s">
        <v>687</v>
      </c>
      <c r="H119" s="3" t="s">
        <v>688</v>
      </c>
      <c r="I119" s="3" t="s">
        <v>98</v>
      </c>
      <c r="J119" s="3" t="s">
        <v>513</v>
      </c>
      <c r="K119" s="5" t="s">
        <v>416</v>
      </c>
      <c r="L119" s="5" t="s">
        <v>101</v>
      </c>
      <c r="M119" s="5" t="s">
        <v>311</v>
      </c>
      <c r="N119" s="3" t="s">
        <v>101</v>
      </c>
      <c r="O119" s="6">
        <v>186617</v>
      </c>
      <c r="P119" s="6">
        <v>186642</v>
      </c>
      <c r="Q119" s="6">
        <f>P119-O119</f>
      </c>
      <c r="R119" s="7">
        <v>100</v>
      </c>
      <c r="S119" s="6">
        <f>IF(Q119-R119&lt;0,"0",Q119-R119)</f>
      </c>
      <c r="T119" s="6">
        <v>0</v>
      </c>
      <c r="U119" s="8">
        <v>46171.57291666667</v>
      </c>
      <c r="V119" s="8">
        <v>46171.69791666667</v>
      </c>
      <c r="W119" s="9">
        <f>V119-U119</f>
      </c>
      <c r="X119" s="10">
        <v>0.125</v>
      </c>
      <c r="Y119" s="9">
        <f>IF(W119-X119&lt;0,"00:00:00",W119-X119)</f>
      </c>
      <c r="Z119" s="11">
        <v>145</v>
      </c>
      <c r="AA119" s="11">
        <v>7.35</v>
      </c>
      <c r="AB119" s="12">
        <f>Y119*Z119*24</f>
      </c>
      <c r="AC119" s="12">
        <f>S119*AA119</f>
      </c>
      <c r="AD119" s="12">
        <f>T119*AA119</f>
      </c>
      <c r="AE119" s="11">
        <v>735</v>
      </c>
      <c r="AF119" s="12">
        <v>0</v>
      </c>
      <c r="AG119" s="12">
        <f>SUM(AB119:AF119)</f>
      </c>
      <c r="AH119" s="3"/>
      <c r="AI119" s="3"/>
      <c r="AJ119" s="3"/>
      <c r="AK119" s="3"/>
      <c r="AL119" s="3"/>
    </row>
    <row r="120" ht="18" customHeight="1" spans="1:38" x14ac:dyDescent="0.25">
      <c r="A120" s="3" t="s">
        <v>37</v>
      </c>
      <c r="B120" s="3" t="s">
        <v>38</v>
      </c>
      <c r="C120" s="3" t="s">
        <v>39</v>
      </c>
      <c r="D120" s="3" t="s">
        <v>40</v>
      </c>
      <c r="E120" s="3" t="s">
        <v>94</v>
      </c>
      <c r="F120" s="3" t="s">
        <v>689</v>
      </c>
      <c r="G120" s="3" t="s">
        <v>687</v>
      </c>
      <c r="H120" s="3" t="s">
        <v>690</v>
      </c>
      <c r="I120" s="3" t="s">
        <v>395</v>
      </c>
      <c r="J120" s="3" t="s">
        <v>513</v>
      </c>
      <c r="K120" s="5" t="s">
        <v>416</v>
      </c>
      <c r="L120" s="5" t="s">
        <v>101</v>
      </c>
      <c r="M120" s="5" t="s">
        <v>311</v>
      </c>
      <c r="N120" s="3" t="s">
        <v>101</v>
      </c>
      <c r="O120" s="6">
        <v>216970</v>
      </c>
      <c r="P120" s="6">
        <v>216995</v>
      </c>
      <c r="Q120" s="6">
        <f>P120-O120</f>
      </c>
      <c r="R120" s="7">
        <v>100</v>
      </c>
      <c r="S120" s="6">
        <f>IF(Q120-R120&lt;0,"0",Q120-R120)</f>
      </c>
      <c r="T120" s="6">
        <v>0</v>
      </c>
      <c r="U120" s="8">
        <v>46171.57291666667</v>
      </c>
      <c r="V120" s="8">
        <v>46171.69791666667</v>
      </c>
      <c r="W120" s="9">
        <f>V120-U120</f>
      </c>
      <c r="X120" s="10">
        <v>0.125</v>
      </c>
      <c r="Y120" s="9">
        <f>IF(W120-X120&lt;0,"00:00:00",W120-X120)</f>
      </c>
      <c r="Z120" s="11">
        <v>145</v>
      </c>
      <c r="AA120" s="11">
        <v>7.35</v>
      </c>
      <c r="AB120" s="12">
        <f>Y120*Z120*24</f>
      </c>
      <c r="AC120" s="12">
        <f>S120*AA120</f>
      </c>
      <c r="AD120" s="12">
        <f>T120*AA120</f>
      </c>
      <c r="AE120" s="11">
        <v>735</v>
      </c>
      <c r="AF120" s="12">
        <v>0</v>
      </c>
      <c r="AG120" s="12">
        <f>SUM(AB120:AF120)</f>
      </c>
      <c r="AH120" s="3"/>
      <c r="AI120" s="3"/>
      <c r="AJ120" s="3"/>
      <c r="AK120" s="3"/>
      <c r="AL120" s="3"/>
    </row>
    <row r="121" ht="18" customHeight="1" spans="1:38" x14ac:dyDescent="0.25">
      <c r="A121" s="3" t="s">
        <v>37</v>
      </c>
      <c r="B121" s="3" t="s">
        <v>38</v>
      </c>
      <c r="C121" s="3" t="s">
        <v>39</v>
      </c>
      <c r="D121" s="3" t="s">
        <v>40</v>
      </c>
      <c r="E121" s="3" t="s">
        <v>57</v>
      </c>
      <c r="F121" s="3" t="s">
        <v>691</v>
      </c>
      <c r="G121" s="3" t="s">
        <v>692</v>
      </c>
      <c r="H121" s="3" t="s">
        <v>693</v>
      </c>
      <c r="I121" s="3" t="s">
        <v>694</v>
      </c>
      <c r="J121" s="3" t="s">
        <v>695</v>
      </c>
      <c r="K121" s="5" t="s">
        <v>75</v>
      </c>
      <c r="L121" s="5" t="s">
        <v>64</v>
      </c>
      <c r="M121" s="5" t="s">
        <v>65</v>
      </c>
      <c r="N121" s="4" t="s">
        <v>46</v>
      </c>
      <c r="O121" s="6">
        <v>47966</v>
      </c>
      <c r="P121" s="6">
        <v>48178</v>
      </c>
      <c r="Q121" s="6">
        <f>P121-O121</f>
      </c>
      <c r="R121" s="7">
        <v>200</v>
      </c>
      <c r="S121" s="6">
        <f>IF(Q121-R121&lt;0,"0",Q121-R121)</f>
      </c>
      <c r="T121" s="6">
        <v>0</v>
      </c>
      <c r="U121" s="8">
        <v>46172.30208333333</v>
      </c>
      <c r="V121" s="8">
        <v>46172.51041666667</v>
      </c>
      <c r="W121" s="9">
        <f>V121-U121</f>
      </c>
      <c r="X121" s="10">
        <v>0.20833333333333334</v>
      </c>
      <c r="Y121" s="9">
        <f>IF(W121-X121&lt;0,"00:00:00",W121-X121)</f>
      </c>
      <c r="Z121" s="11">
        <v>145</v>
      </c>
      <c r="AA121" s="11">
        <v>6.9</v>
      </c>
      <c r="AB121" s="12">
        <f>Y121*Z121*24</f>
      </c>
      <c r="AC121" s="12">
        <f>S121*AA121</f>
      </c>
      <c r="AD121" s="12">
        <f>T121*AA121</f>
      </c>
      <c r="AE121" s="11">
        <v>1297.2</v>
      </c>
      <c r="AF121" s="12">
        <v>35</v>
      </c>
      <c r="AG121" s="12">
        <f>SUM(AB121:AF121)</f>
      </c>
      <c r="AH121" s="3"/>
      <c r="AI121" s="3"/>
      <c r="AJ121" s="3"/>
      <c r="AK121" s="3"/>
      <c r="AL121" s="3"/>
    </row>
    <row r="122" ht="18" customHeight="1" spans="1:38" x14ac:dyDescent="0.25">
      <c r="A122" s="3" t="s">
        <v>37</v>
      </c>
      <c r="B122" s="3" t="s">
        <v>38</v>
      </c>
      <c r="C122" s="3" t="s">
        <v>39</v>
      </c>
      <c r="D122" s="3" t="s">
        <v>40</v>
      </c>
      <c r="E122" s="3" t="s">
        <v>57</v>
      </c>
      <c r="F122" s="3" t="s">
        <v>696</v>
      </c>
      <c r="G122" s="3" t="s">
        <v>697</v>
      </c>
      <c r="H122" s="3" t="s">
        <v>698</v>
      </c>
      <c r="I122" s="3" t="s">
        <v>199</v>
      </c>
      <c r="J122" s="3" t="s">
        <v>699</v>
      </c>
      <c r="K122" s="5" t="s">
        <v>63</v>
      </c>
      <c r="L122" s="5" t="s">
        <v>64</v>
      </c>
      <c r="M122" s="5" t="s">
        <v>65</v>
      </c>
      <c r="N122" s="4" t="s">
        <v>46</v>
      </c>
      <c r="O122" s="6">
        <v>424508</v>
      </c>
      <c r="P122" s="6">
        <v>424709</v>
      </c>
      <c r="Q122" s="6">
        <f>P122-O122</f>
      </c>
      <c r="R122" s="7">
        <v>200</v>
      </c>
      <c r="S122" s="6">
        <f>IF(Q122-R122&lt;0,"0",Q122-R122)</f>
      </c>
      <c r="T122" s="6">
        <v>0</v>
      </c>
      <c r="U122" s="8">
        <v>46172.96875</v>
      </c>
      <c r="V122" s="8">
        <v>46173.17708333333</v>
      </c>
      <c r="W122" s="9">
        <f>V122-U122</f>
      </c>
      <c r="X122" s="10">
        <v>0.20833333333333334</v>
      </c>
      <c r="Y122" s="9">
        <f>IF(W122-X122&lt;0,"00:00:00",W122-X122)</f>
      </c>
      <c r="Z122" s="11">
        <v>145</v>
      </c>
      <c r="AA122" s="11">
        <v>6.9</v>
      </c>
      <c r="AB122" s="12">
        <f>Y122*Z122*24</f>
      </c>
      <c r="AC122" s="12">
        <f>S122*AA122</f>
      </c>
      <c r="AD122" s="12">
        <f>T122*AA122</f>
      </c>
      <c r="AE122" s="11">
        <v>1373.1</v>
      </c>
      <c r="AF122" s="12">
        <v>35</v>
      </c>
      <c r="AG122" s="12">
        <f>SUM(AB122:AF122)</f>
      </c>
      <c r="AH122" s="3"/>
      <c r="AI122" s="3"/>
      <c r="AJ122" s="3"/>
      <c r="AK122" s="3"/>
      <c r="AL122" s="3"/>
    </row>
    <row r="123" ht="18" customHeight="1" spans="1:38" x14ac:dyDescent="0.25">
      <c r="A123" s="3" t="s">
        <v>37</v>
      </c>
      <c r="B123" s="3" t="s">
        <v>38</v>
      </c>
      <c r="C123" s="3" t="s">
        <v>39</v>
      </c>
      <c r="D123" s="3" t="s">
        <v>40</v>
      </c>
      <c r="E123" s="3" t="s">
        <v>57</v>
      </c>
      <c r="F123" s="3" t="s">
        <v>700</v>
      </c>
      <c r="G123" s="3" t="s">
        <v>701</v>
      </c>
      <c r="H123" s="3" t="s">
        <v>702</v>
      </c>
      <c r="I123" s="3" t="s">
        <v>703</v>
      </c>
      <c r="J123" s="3" t="s">
        <v>704</v>
      </c>
      <c r="K123" s="5" t="s">
        <v>75</v>
      </c>
      <c r="L123" s="5" t="s">
        <v>64</v>
      </c>
      <c r="M123" s="5" t="s">
        <v>65</v>
      </c>
      <c r="N123" s="4" t="s">
        <v>46</v>
      </c>
      <c r="O123" s="6">
        <v>73691</v>
      </c>
      <c r="P123" s="6">
        <v>73892</v>
      </c>
      <c r="Q123" s="6">
        <f>P123-O123</f>
      </c>
      <c r="R123" s="7">
        <v>200</v>
      </c>
      <c r="S123" s="6">
        <f>IF(Q123-R123&lt;0,"0",Q123-R123)</f>
      </c>
      <c r="T123" s="6">
        <v>0</v>
      </c>
      <c r="U123" s="8">
        <v>46173.743055555555</v>
      </c>
      <c r="V123" s="8">
        <v>46173.95138888889</v>
      </c>
      <c r="W123" s="9">
        <f>V123-U123</f>
      </c>
      <c r="X123" s="10">
        <v>0.20833333333333334</v>
      </c>
      <c r="Y123" s="9">
        <f>IF(W123-X123&lt;0,"00:00:00",W123-X123)</f>
      </c>
      <c r="Z123" s="11">
        <v>145</v>
      </c>
      <c r="AA123" s="11">
        <v>6.9</v>
      </c>
      <c r="AB123" s="12">
        <f>Y123*Z123*24</f>
      </c>
      <c r="AC123" s="12">
        <f>S123*AA123</f>
      </c>
      <c r="AD123" s="12">
        <f>T123*AA123</f>
      </c>
      <c r="AE123" s="11">
        <v>1373.1</v>
      </c>
      <c r="AF123" s="12">
        <v>35</v>
      </c>
      <c r="AG123" s="12">
        <f>SUM(AB123:AF123)</f>
      </c>
      <c r="AH123" s="3"/>
      <c r="AI123" s="3"/>
      <c r="AJ123" s="3"/>
      <c r="AK123" s="3"/>
      <c r="AL123" s="3"/>
    </row>
    <row r="124" ht="18" customHeight="1" spans="1:38" x14ac:dyDescent="0.25">
      <c r="A124" s="3" t="s">
        <v>37</v>
      </c>
      <c r="B124" s="3" t="s">
        <v>38</v>
      </c>
      <c r="C124" s="3" t="s">
        <v>39</v>
      </c>
      <c r="D124" s="3" t="s">
        <v>40</v>
      </c>
      <c r="E124" s="3" t="s">
        <v>705</v>
      </c>
      <c r="F124" s="3" t="s">
        <v>706</v>
      </c>
      <c r="G124" s="3" t="s">
        <v>707</v>
      </c>
      <c r="H124" s="3" t="s">
        <v>708</v>
      </c>
      <c r="I124" s="3" t="s">
        <v>204</v>
      </c>
      <c r="J124" s="3" t="s">
        <v>709</v>
      </c>
      <c r="K124" s="5" t="s">
        <v>634</v>
      </c>
      <c r="L124" s="5" t="s">
        <v>64</v>
      </c>
      <c r="M124" s="5" t="s">
        <v>312</v>
      </c>
      <c r="N124" s="4" t="s">
        <v>46</v>
      </c>
      <c r="O124" s="6">
        <v>24246</v>
      </c>
      <c r="P124" s="6">
        <v>24284</v>
      </c>
      <c r="Q124" s="6">
        <f>P124-O124</f>
      </c>
      <c r="R124" s="7">
        <v>100</v>
      </c>
      <c r="S124" s="6">
        <f>IF(Q124-R124&lt;0,"0",Q124-R124)</f>
      </c>
      <c r="T124" s="6">
        <v>0</v>
      </c>
      <c r="U124" s="8">
        <v>46173.97916666667</v>
      </c>
      <c r="V124" s="8">
        <v>46174.10416666667</v>
      </c>
      <c r="W124" s="9">
        <f>V124-U124</f>
      </c>
      <c r="X124" s="10">
        <v>0.125</v>
      </c>
      <c r="Y124" s="9">
        <f>IF(W124-X124&lt;0,"00:00:00",W124-X124)</f>
      </c>
      <c r="Z124" s="11">
        <v>145</v>
      </c>
      <c r="AA124" s="11">
        <v>6.9</v>
      </c>
      <c r="AB124" s="12">
        <f>Y124*Z124*24</f>
      </c>
      <c r="AC124" s="12">
        <f>S124*AA124</f>
      </c>
      <c r="AD124" s="12">
        <f>T124*AA124</f>
      </c>
      <c r="AE124" s="11">
        <v>690</v>
      </c>
      <c r="AF124" s="12">
        <v>0</v>
      </c>
      <c r="AG124" s="12">
        <f>SUM(AB124:AF124)</f>
      </c>
      <c r="AH124" s="3"/>
      <c r="AI124" s="3"/>
      <c r="AJ124" s="3"/>
      <c r="AK124" s="3"/>
      <c r="AL124" s="3"/>
    </row>
    <row r="125" ht="18" customHeight="1" spans="1:38" x14ac:dyDescent="0.25">
      <c r="A125" s="3" t="s">
        <v>37</v>
      </c>
      <c r="B125" s="3" t="s">
        <v>38</v>
      </c>
      <c r="C125" s="3" t="s">
        <v>39</v>
      </c>
      <c r="D125" s="3" t="s">
        <v>40</v>
      </c>
      <c r="E125" s="3" t="s">
        <v>705</v>
      </c>
      <c r="F125" s="3" t="s">
        <v>710</v>
      </c>
      <c r="G125" s="3" t="s">
        <v>711</v>
      </c>
      <c r="H125" s="3" t="s">
        <v>712</v>
      </c>
      <c r="I125" s="3" t="s">
        <v>703</v>
      </c>
      <c r="J125" s="3" t="s">
        <v>713</v>
      </c>
      <c r="K125" s="5" t="s">
        <v>634</v>
      </c>
      <c r="L125" s="5" t="s">
        <v>64</v>
      </c>
      <c r="M125" s="5" t="s">
        <v>312</v>
      </c>
      <c r="N125" s="4" t="s">
        <v>46</v>
      </c>
      <c r="O125" s="6">
        <v>74045</v>
      </c>
      <c r="P125" s="6">
        <v>74083</v>
      </c>
      <c r="Q125" s="6">
        <f>P125-O125</f>
      </c>
      <c r="R125" s="7">
        <v>100</v>
      </c>
      <c r="S125" s="6">
        <f>IF(Q125-R125&lt;0,"0",Q125-R125)</f>
      </c>
      <c r="T125" s="6">
        <v>0</v>
      </c>
      <c r="U125" s="8">
        <v>46173.97916666667</v>
      </c>
      <c r="V125" s="8">
        <v>46174.10416666667</v>
      </c>
      <c r="W125" s="9">
        <f>V125-U125</f>
      </c>
      <c r="X125" s="10">
        <v>0.125</v>
      </c>
      <c r="Y125" s="9">
        <f>IF(W125-X125&lt;0,"00:00:00",W125-X125)</f>
      </c>
      <c r="Z125" s="11">
        <v>145</v>
      </c>
      <c r="AA125" s="11">
        <v>6.9</v>
      </c>
      <c r="AB125" s="12">
        <f>Y125*Z125*24</f>
      </c>
      <c r="AC125" s="12">
        <f>S125*AA125</f>
      </c>
      <c r="AD125" s="12">
        <f>T125*AA125</f>
      </c>
      <c r="AE125" s="11">
        <v>690</v>
      </c>
      <c r="AF125" s="12">
        <v>0</v>
      </c>
      <c r="AG125" s="12">
        <f>SUM(AB125:AF125)</f>
      </c>
      <c r="AH125" s="3"/>
      <c r="AI125" s="3"/>
      <c r="AJ125" s="3"/>
      <c r="AK125" s="3"/>
      <c r="AL125" s="3"/>
    </row>
    <row r="126" ht="18" customHeight="1" spans="1:38" x14ac:dyDescent="0.25">
      <c r="A126" s="3" t="s">
        <v>37</v>
      </c>
      <c r="B126" s="3" t="s">
        <v>38</v>
      </c>
      <c r="C126" s="3" t="s">
        <v>39</v>
      </c>
      <c r="D126" s="3" t="s">
        <v>40</v>
      </c>
      <c r="E126" s="3" t="s">
        <v>705</v>
      </c>
      <c r="F126" s="3" t="s">
        <v>714</v>
      </c>
      <c r="G126" s="3" t="s">
        <v>715</v>
      </c>
      <c r="H126" s="3" t="s">
        <v>716</v>
      </c>
      <c r="I126" s="3" t="s">
        <v>199</v>
      </c>
      <c r="J126" s="3" t="s">
        <v>717</v>
      </c>
      <c r="K126" s="5" t="s">
        <v>634</v>
      </c>
      <c r="L126" s="5" t="s">
        <v>64</v>
      </c>
      <c r="M126" s="5" t="s">
        <v>312</v>
      </c>
      <c r="N126" s="4" t="s">
        <v>46</v>
      </c>
      <c r="O126" s="6">
        <v>425076</v>
      </c>
      <c r="P126" s="6">
        <v>425116</v>
      </c>
      <c r="Q126" s="6">
        <f>P126-O126</f>
      </c>
      <c r="R126" s="7">
        <v>100</v>
      </c>
      <c r="S126" s="6">
        <f>IF(Q126-R126&lt;0,"0",Q126-R126)</f>
      </c>
      <c r="T126" s="6">
        <v>0</v>
      </c>
      <c r="U126" s="8">
        <v>46173.97916666667</v>
      </c>
      <c r="V126" s="8">
        <v>46174.10416666667</v>
      </c>
      <c r="W126" s="9">
        <f>V126-U126</f>
      </c>
      <c r="X126" s="10">
        <v>0.125</v>
      </c>
      <c r="Y126" s="9">
        <f>IF(W126-X126&lt;0,"00:00:00",W126-X126)</f>
      </c>
      <c r="Z126" s="11">
        <v>145</v>
      </c>
      <c r="AA126" s="11">
        <v>6.9</v>
      </c>
      <c r="AB126" s="12">
        <f>Y126*Z126*24</f>
      </c>
      <c r="AC126" s="12">
        <f>S126*AA126</f>
      </c>
      <c r="AD126" s="12">
        <f>T126*AA126</f>
      </c>
      <c r="AE126" s="11">
        <v>690</v>
      </c>
      <c r="AF126" s="12">
        <v>0</v>
      </c>
      <c r="AG126" s="12">
        <f>SUM(AB126:AF126)</f>
      </c>
      <c r="AH126" s="3"/>
      <c r="AI126" s="3"/>
      <c r="AJ126" s="3"/>
      <c r="AK126" s="3"/>
      <c r="AL126" s="3"/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2026-06-03T20:59:15Z</dcterms:created>
  <dcterms:modified xsi:type="dcterms:W3CDTF">2026-06-03T20:59:15Z</dcterms:modified>
</cp:coreProperties>
</file>