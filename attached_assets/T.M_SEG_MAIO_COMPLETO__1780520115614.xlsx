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FBEB9B0-B21E-4A90-8E73-F0E6FF2D89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COLTA" sheetId="1" r:id="rId1"/>
  </sheets>
  <definedNames>
    <definedName name="_xlnm._FilterDatabase" localSheetId="0" hidden="1">ESCOLTA!$A$1:$AN$126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6" i="1" l="1"/>
  <c r="W119" i="1"/>
  <c r="W117" i="1"/>
  <c r="W116" i="1"/>
  <c r="W115" i="1"/>
  <c r="W109" i="1"/>
  <c r="W105" i="1"/>
  <c r="W102" i="1"/>
  <c r="W100" i="1"/>
  <c r="W90" i="1"/>
  <c r="W85" i="1"/>
  <c r="W84" i="1"/>
  <c r="W83" i="1"/>
  <c r="W77" i="1"/>
  <c r="W76" i="1"/>
  <c r="W75" i="1"/>
  <c r="W74" i="1"/>
  <c r="W68" i="1"/>
  <c r="W67" i="1"/>
  <c r="W66" i="1"/>
  <c r="W65" i="1"/>
  <c r="W60" i="1"/>
  <c r="W58" i="1"/>
  <c r="W57" i="1"/>
  <c r="W56" i="1"/>
  <c r="W45" i="1"/>
  <c r="W43" i="1"/>
  <c r="W41" i="1"/>
  <c r="W40" i="1"/>
  <c r="W27" i="1"/>
  <c r="W26" i="1"/>
  <c r="W25" i="1"/>
  <c r="W24" i="1"/>
  <c r="W6" i="1"/>
  <c r="W2" i="1"/>
  <c r="W123" i="1"/>
  <c r="W122" i="1"/>
  <c r="W121" i="1"/>
  <c r="W120" i="1"/>
  <c r="W114" i="1"/>
  <c r="W113" i="1"/>
  <c r="W111" i="1"/>
  <c r="W110" i="1"/>
  <c r="W99" i="1"/>
  <c r="W96" i="1"/>
  <c r="W95" i="1"/>
  <c r="W93" i="1"/>
  <c r="W82" i="1"/>
  <c r="W81" i="1"/>
  <c r="W80" i="1"/>
  <c r="W78" i="1"/>
  <c r="W72" i="1"/>
  <c r="W71" i="1"/>
  <c r="W70" i="1"/>
  <c r="W69" i="1"/>
  <c r="W64" i="1"/>
  <c r="W63" i="1"/>
  <c r="W62" i="1"/>
  <c r="W61" i="1"/>
  <c r="W51" i="1"/>
  <c r="W50" i="1"/>
  <c r="W48" i="1"/>
  <c r="W46" i="1"/>
  <c r="W35" i="1"/>
  <c r="W33" i="1"/>
  <c r="W31" i="1"/>
  <c r="W29" i="1"/>
  <c r="W19" i="1"/>
  <c r="W18" i="1"/>
  <c r="W11" i="1"/>
  <c r="W9" i="1"/>
  <c r="W28" i="1"/>
  <c r="W21" i="1"/>
  <c r="W20" i="1"/>
  <c r="W17" i="1"/>
  <c r="W3" i="1"/>
  <c r="W112" i="1"/>
  <c r="W108" i="1"/>
  <c r="W106" i="1"/>
  <c r="W97" i="1"/>
  <c r="W94" i="1"/>
  <c r="W91" i="1"/>
  <c r="W79" i="1"/>
  <c r="W73" i="1"/>
  <c r="W55" i="1"/>
  <c r="W47" i="1"/>
  <c r="W44" i="1"/>
  <c r="W39" i="1"/>
  <c r="W32" i="1"/>
  <c r="W30" i="1"/>
  <c r="W23" i="1"/>
  <c r="W22" i="1"/>
  <c r="W16" i="1"/>
  <c r="W14" i="1"/>
  <c r="W13" i="1"/>
  <c r="W10" i="1"/>
  <c r="W126" i="1"/>
  <c r="W125" i="1"/>
  <c r="W124" i="1"/>
  <c r="W118" i="1"/>
  <c r="W107" i="1"/>
  <c r="W104" i="1"/>
  <c r="W103" i="1"/>
  <c r="W101" i="1"/>
  <c r="W98" i="1"/>
  <c r="W92" i="1"/>
  <c r="W89" i="1"/>
  <c r="W88" i="1"/>
  <c r="W87" i="1"/>
  <c r="W86" i="1"/>
  <c r="W59" i="1"/>
  <c r="W54" i="1"/>
  <c r="W53" i="1"/>
  <c r="W52" i="1"/>
  <c r="W49" i="1"/>
  <c r="W42" i="1"/>
  <c r="W38" i="1"/>
  <c r="W37" i="1"/>
  <c r="W36" i="1"/>
  <c r="W34" i="1"/>
  <c r="W15" i="1"/>
  <c r="W12" i="1"/>
  <c r="W8" i="1"/>
  <c r="W7" i="1"/>
  <c r="W5" i="1"/>
  <c r="W4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2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79" i="1"/>
  <c r="AF78" i="1"/>
  <c r="Y126" i="1"/>
  <c r="AA126" i="1" s="1"/>
  <c r="AD126" i="1" s="1"/>
  <c r="Y125" i="1"/>
  <c r="AA125" i="1" s="1"/>
  <c r="AD125" i="1" s="1"/>
  <c r="Y124" i="1"/>
  <c r="AA124" i="1" s="1"/>
  <c r="AD124" i="1" s="1"/>
  <c r="Y123" i="1"/>
  <c r="AA123" i="1" s="1"/>
  <c r="AD123" i="1" s="1"/>
  <c r="Y122" i="1"/>
  <c r="AA122" i="1" s="1"/>
  <c r="AD122" i="1" s="1"/>
  <c r="Y121" i="1"/>
  <c r="AA121" i="1" s="1"/>
  <c r="AD121" i="1" s="1"/>
  <c r="Y120" i="1"/>
  <c r="AA120" i="1" s="1"/>
  <c r="AD120" i="1" s="1"/>
  <c r="Y119" i="1"/>
  <c r="AA119" i="1" s="1"/>
  <c r="AD119" i="1" s="1"/>
  <c r="Y118" i="1"/>
  <c r="AA118" i="1" s="1"/>
  <c r="AD118" i="1" s="1"/>
  <c r="Y117" i="1"/>
  <c r="AA117" i="1" s="1"/>
  <c r="AD117" i="1" s="1"/>
  <c r="Y116" i="1"/>
  <c r="AA116" i="1" s="1"/>
  <c r="AD116" i="1" s="1"/>
  <c r="Y115" i="1"/>
  <c r="AA115" i="1" s="1"/>
  <c r="AD115" i="1" s="1"/>
  <c r="Y114" i="1"/>
  <c r="AA114" i="1" s="1"/>
  <c r="AD114" i="1" s="1"/>
  <c r="Y112" i="1"/>
  <c r="AA112" i="1" s="1"/>
  <c r="AD112" i="1" s="1"/>
  <c r="Y109" i="1"/>
  <c r="AA109" i="1" s="1"/>
  <c r="AD109" i="1" s="1"/>
  <c r="Y108" i="1"/>
  <c r="AA108" i="1" s="1"/>
  <c r="AD108" i="1" s="1"/>
  <c r="Y107" i="1"/>
  <c r="AA107" i="1" s="1"/>
  <c r="AD107" i="1" s="1"/>
  <c r="Y106" i="1"/>
  <c r="AA106" i="1" s="1"/>
  <c r="AD106" i="1" s="1"/>
  <c r="Y105" i="1"/>
  <c r="AA105" i="1" s="1"/>
  <c r="AD105" i="1" s="1"/>
  <c r="Y104" i="1"/>
  <c r="AA104" i="1" s="1"/>
  <c r="AD104" i="1" s="1"/>
  <c r="Y103" i="1"/>
  <c r="AA103" i="1" s="1"/>
  <c r="AD103" i="1" s="1"/>
  <c r="Y102" i="1"/>
  <c r="AA102" i="1" s="1"/>
  <c r="AD102" i="1" s="1"/>
  <c r="Y101" i="1"/>
  <c r="AA101" i="1" s="1"/>
  <c r="AD101" i="1" s="1"/>
  <c r="Y100" i="1"/>
  <c r="AA100" i="1" s="1"/>
  <c r="AD100" i="1" s="1"/>
  <c r="Y99" i="1"/>
  <c r="AA99" i="1" s="1"/>
  <c r="AD99" i="1" s="1"/>
  <c r="Y98" i="1"/>
  <c r="AA98" i="1" s="1"/>
  <c r="AD98" i="1" s="1"/>
  <c r="Y97" i="1"/>
  <c r="AA97" i="1" s="1"/>
  <c r="AD97" i="1" s="1"/>
  <c r="Y96" i="1"/>
  <c r="AA96" i="1" s="1"/>
  <c r="AD96" i="1" s="1"/>
  <c r="Y95" i="1"/>
  <c r="AA95" i="1" s="1"/>
  <c r="AD95" i="1" s="1"/>
  <c r="Y94" i="1"/>
  <c r="AA94" i="1" s="1"/>
  <c r="AD94" i="1" s="1"/>
  <c r="Y92" i="1"/>
  <c r="AA92" i="1" s="1"/>
  <c r="AD92" i="1" s="1"/>
  <c r="Y91" i="1"/>
  <c r="AA91" i="1" s="1"/>
  <c r="AD91" i="1" s="1"/>
  <c r="Y90" i="1"/>
  <c r="AA90" i="1" s="1"/>
  <c r="AD90" i="1" s="1"/>
  <c r="Y89" i="1"/>
  <c r="AA89" i="1" s="1"/>
  <c r="AD89" i="1" s="1"/>
  <c r="Y88" i="1"/>
  <c r="AA88" i="1" s="1"/>
  <c r="AD88" i="1" s="1"/>
  <c r="Y87" i="1"/>
  <c r="AA87" i="1" s="1"/>
  <c r="AD87" i="1" s="1"/>
  <c r="Y86" i="1"/>
  <c r="AA86" i="1" s="1"/>
  <c r="AD86" i="1" s="1"/>
  <c r="Y85" i="1"/>
  <c r="AA85" i="1" s="1"/>
  <c r="AD85" i="1" s="1"/>
  <c r="Y84" i="1"/>
  <c r="AA84" i="1" s="1"/>
  <c r="AD84" i="1" s="1"/>
  <c r="Y83" i="1"/>
  <c r="AA83" i="1" s="1"/>
  <c r="AD83" i="1" s="1"/>
  <c r="Y82" i="1"/>
  <c r="AA82" i="1" s="1"/>
  <c r="AD82" i="1" s="1"/>
  <c r="Y81" i="1"/>
  <c r="AA81" i="1" s="1"/>
  <c r="AD81" i="1" s="1"/>
  <c r="Y79" i="1"/>
  <c r="AA79" i="1" s="1"/>
  <c r="AD79" i="1" s="1"/>
  <c r="Y78" i="1"/>
  <c r="AA78" i="1" s="1"/>
  <c r="AD78" i="1" s="1"/>
  <c r="Q126" i="1"/>
  <c r="S126" i="1" s="1"/>
  <c r="AE126" i="1" s="1"/>
  <c r="Q125" i="1"/>
  <c r="S125" i="1" s="1"/>
  <c r="AE125" i="1" s="1"/>
  <c r="Q124" i="1"/>
  <c r="S124" i="1" s="1"/>
  <c r="AE124" i="1" s="1"/>
  <c r="Q123" i="1"/>
  <c r="S123" i="1" s="1"/>
  <c r="AE123" i="1" s="1"/>
  <c r="Q122" i="1"/>
  <c r="S122" i="1" s="1"/>
  <c r="AE122" i="1" s="1"/>
  <c r="Q121" i="1"/>
  <c r="S121" i="1" s="1"/>
  <c r="AE121" i="1" s="1"/>
  <c r="Q120" i="1"/>
  <c r="S120" i="1" s="1"/>
  <c r="AE120" i="1" s="1"/>
  <c r="Q119" i="1"/>
  <c r="S119" i="1" s="1"/>
  <c r="AE119" i="1" s="1"/>
  <c r="Q118" i="1"/>
  <c r="S118" i="1" s="1"/>
  <c r="AE118" i="1" s="1"/>
  <c r="Q117" i="1"/>
  <c r="S117" i="1" s="1"/>
  <c r="AE117" i="1" s="1"/>
  <c r="Q116" i="1"/>
  <c r="S116" i="1" s="1"/>
  <c r="AE116" i="1" s="1"/>
  <c r="Q115" i="1"/>
  <c r="S115" i="1" s="1"/>
  <c r="AE115" i="1" s="1"/>
  <c r="Q114" i="1"/>
  <c r="S114" i="1" s="1"/>
  <c r="AE114" i="1" s="1"/>
  <c r="Q112" i="1"/>
  <c r="S112" i="1" s="1"/>
  <c r="AE112" i="1" s="1"/>
  <c r="Q109" i="1"/>
  <c r="S109" i="1" s="1"/>
  <c r="AE109" i="1" s="1"/>
  <c r="Q108" i="1"/>
  <c r="S108" i="1" s="1"/>
  <c r="AE108" i="1" s="1"/>
  <c r="Q107" i="1"/>
  <c r="S107" i="1" s="1"/>
  <c r="AE107" i="1" s="1"/>
  <c r="Q106" i="1"/>
  <c r="S106" i="1" s="1"/>
  <c r="AE106" i="1" s="1"/>
  <c r="Q105" i="1"/>
  <c r="S105" i="1" s="1"/>
  <c r="AE105" i="1" s="1"/>
  <c r="Q104" i="1"/>
  <c r="S104" i="1" s="1"/>
  <c r="AE104" i="1" s="1"/>
  <c r="Q103" i="1"/>
  <c r="S103" i="1" s="1"/>
  <c r="AE103" i="1" s="1"/>
  <c r="Q102" i="1"/>
  <c r="S102" i="1" s="1"/>
  <c r="AE102" i="1" s="1"/>
  <c r="Q101" i="1"/>
  <c r="S101" i="1" s="1"/>
  <c r="AE101" i="1" s="1"/>
  <c r="Q100" i="1"/>
  <c r="S100" i="1" s="1"/>
  <c r="AE100" i="1" s="1"/>
  <c r="Q99" i="1"/>
  <c r="S99" i="1" s="1"/>
  <c r="AE99" i="1" s="1"/>
  <c r="Q98" i="1"/>
  <c r="S98" i="1" s="1"/>
  <c r="AE98" i="1" s="1"/>
  <c r="Q97" i="1"/>
  <c r="S97" i="1" s="1"/>
  <c r="AE97" i="1" s="1"/>
  <c r="Q96" i="1"/>
  <c r="S96" i="1" s="1"/>
  <c r="AE96" i="1" s="1"/>
  <c r="Q95" i="1"/>
  <c r="S95" i="1" s="1"/>
  <c r="AE95" i="1" s="1"/>
  <c r="Q94" i="1"/>
  <c r="S94" i="1" s="1"/>
  <c r="AE94" i="1" s="1"/>
  <c r="Q92" i="1"/>
  <c r="S92" i="1" s="1"/>
  <c r="AE92" i="1" s="1"/>
  <c r="Q91" i="1"/>
  <c r="S91" i="1" s="1"/>
  <c r="AE91" i="1" s="1"/>
  <c r="Q90" i="1"/>
  <c r="S90" i="1" s="1"/>
  <c r="AE90" i="1" s="1"/>
  <c r="Q89" i="1"/>
  <c r="S89" i="1" s="1"/>
  <c r="AE89" i="1" s="1"/>
  <c r="Q88" i="1"/>
  <c r="S88" i="1" s="1"/>
  <c r="AE88" i="1" s="1"/>
  <c r="Q87" i="1"/>
  <c r="S87" i="1" s="1"/>
  <c r="AE87" i="1" s="1"/>
  <c r="Q86" i="1"/>
  <c r="S86" i="1" s="1"/>
  <c r="AE86" i="1" s="1"/>
  <c r="Q85" i="1"/>
  <c r="S85" i="1" s="1"/>
  <c r="AE85" i="1" s="1"/>
  <c r="Q84" i="1"/>
  <c r="S84" i="1" s="1"/>
  <c r="AE84" i="1" s="1"/>
  <c r="Q83" i="1"/>
  <c r="S83" i="1" s="1"/>
  <c r="AE83" i="1" s="1"/>
  <c r="Q82" i="1"/>
  <c r="S82" i="1" s="1"/>
  <c r="AE82" i="1" s="1"/>
  <c r="Q81" i="1"/>
  <c r="S81" i="1" s="1"/>
  <c r="AE81" i="1" s="1"/>
  <c r="Q79" i="1"/>
  <c r="S79" i="1" s="1"/>
  <c r="AE79" i="1" s="1"/>
  <c r="Q78" i="1"/>
  <c r="S78" i="1" s="1"/>
  <c r="AE78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7" i="1"/>
  <c r="AF68" i="1"/>
  <c r="AF69" i="1"/>
  <c r="AF70" i="1"/>
  <c r="AF71" i="1"/>
  <c r="AF72" i="1"/>
  <c r="AF73" i="1"/>
  <c r="AF74" i="1"/>
  <c r="AF75" i="1"/>
  <c r="AF76" i="1"/>
  <c r="AF77" i="1"/>
  <c r="AF80" i="1"/>
  <c r="AF93" i="1"/>
  <c r="AF110" i="1"/>
  <c r="AF111" i="1"/>
  <c r="AF113" i="1"/>
  <c r="Y3" i="1"/>
  <c r="AA3" i="1" s="1"/>
  <c r="AD3" i="1" s="1"/>
  <c r="Y4" i="1"/>
  <c r="AA4" i="1" s="1"/>
  <c r="AD4" i="1" s="1"/>
  <c r="Y5" i="1"/>
  <c r="AA5" i="1" s="1"/>
  <c r="AD5" i="1" s="1"/>
  <c r="Y6" i="1"/>
  <c r="AA6" i="1" s="1"/>
  <c r="AD6" i="1" s="1"/>
  <c r="Y7" i="1"/>
  <c r="AA7" i="1" s="1"/>
  <c r="AD7" i="1" s="1"/>
  <c r="Y8" i="1"/>
  <c r="AA8" i="1" s="1"/>
  <c r="AD8" i="1" s="1"/>
  <c r="Y9" i="1"/>
  <c r="AA9" i="1" s="1"/>
  <c r="AD9" i="1" s="1"/>
  <c r="Y10" i="1"/>
  <c r="AA10" i="1" s="1"/>
  <c r="AD10" i="1" s="1"/>
  <c r="Y11" i="1"/>
  <c r="AA11" i="1" s="1"/>
  <c r="AD11" i="1" s="1"/>
  <c r="Y12" i="1"/>
  <c r="AA12" i="1" s="1"/>
  <c r="AD12" i="1" s="1"/>
  <c r="Y13" i="1"/>
  <c r="AA13" i="1" s="1"/>
  <c r="AD13" i="1" s="1"/>
  <c r="Y14" i="1"/>
  <c r="AA14" i="1" s="1"/>
  <c r="AD14" i="1" s="1"/>
  <c r="Y15" i="1"/>
  <c r="AA15" i="1" s="1"/>
  <c r="AD15" i="1" s="1"/>
  <c r="Y16" i="1"/>
  <c r="AA16" i="1" s="1"/>
  <c r="AD16" i="1" s="1"/>
  <c r="Y17" i="1"/>
  <c r="AA17" i="1" s="1"/>
  <c r="AD17" i="1" s="1"/>
  <c r="Y18" i="1"/>
  <c r="AA18" i="1" s="1"/>
  <c r="AD18" i="1" s="1"/>
  <c r="Y19" i="1"/>
  <c r="AA19" i="1" s="1"/>
  <c r="AD19" i="1" s="1"/>
  <c r="Y20" i="1"/>
  <c r="AA20" i="1" s="1"/>
  <c r="AD20" i="1" s="1"/>
  <c r="Y21" i="1"/>
  <c r="AA21" i="1" s="1"/>
  <c r="AD21" i="1" s="1"/>
  <c r="Y22" i="1"/>
  <c r="AA22" i="1" s="1"/>
  <c r="AD22" i="1" s="1"/>
  <c r="Y23" i="1"/>
  <c r="AA23" i="1" s="1"/>
  <c r="AD23" i="1" s="1"/>
  <c r="Y24" i="1"/>
  <c r="AA24" i="1" s="1"/>
  <c r="AD24" i="1" s="1"/>
  <c r="Y25" i="1"/>
  <c r="AA25" i="1" s="1"/>
  <c r="AD25" i="1" s="1"/>
  <c r="Y26" i="1"/>
  <c r="AA26" i="1" s="1"/>
  <c r="AD26" i="1" s="1"/>
  <c r="Y27" i="1"/>
  <c r="AA27" i="1" s="1"/>
  <c r="AD27" i="1" s="1"/>
  <c r="Y28" i="1"/>
  <c r="AA28" i="1" s="1"/>
  <c r="AD28" i="1" s="1"/>
  <c r="Y29" i="1"/>
  <c r="AA29" i="1" s="1"/>
  <c r="AD29" i="1" s="1"/>
  <c r="Y30" i="1"/>
  <c r="AA30" i="1" s="1"/>
  <c r="AD30" i="1" s="1"/>
  <c r="Y31" i="1"/>
  <c r="AA31" i="1" s="1"/>
  <c r="AD31" i="1" s="1"/>
  <c r="Y32" i="1"/>
  <c r="AA32" i="1" s="1"/>
  <c r="AD32" i="1" s="1"/>
  <c r="Y33" i="1"/>
  <c r="AA33" i="1" s="1"/>
  <c r="AD33" i="1" s="1"/>
  <c r="Y34" i="1"/>
  <c r="AA34" i="1" s="1"/>
  <c r="AD34" i="1" s="1"/>
  <c r="Y35" i="1"/>
  <c r="AA35" i="1" s="1"/>
  <c r="AD35" i="1" s="1"/>
  <c r="Y36" i="1"/>
  <c r="AA36" i="1" s="1"/>
  <c r="AD36" i="1" s="1"/>
  <c r="Y37" i="1"/>
  <c r="AA37" i="1" s="1"/>
  <c r="AD37" i="1" s="1"/>
  <c r="Y38" i="1"/>
  <c r="AA38" i="1" s="1"/>
  <c r="AD38" i="1" s="1"/>
  <c r="Y39" i="1"/>
  <c r="AA39" i="1" s="1"/>
  <c r="AD39" i="1" s="1"/>
  <c r="Y40" i="1"/>
  <c r="AA40" i="1" s="1"/>
  <c r="AD40" i="1" s="1"/>
  <c r="Y41" i="1"/>
  <c r="AA41" i="1" s="1"/>
  <c r="AD41" i="1" s="1"/>
  <c r="Y42" i="1"/>
  <c r="AA42" i="1" s="1"/>
  <c r="AD42" i="1" s="1"/>
  <c r="Y43" i="1"/>
  <c r="AA43" i="1" s="1"/>
  <c r="AD43" i="1" s="1"/>
  <c r="Y44" i="1"/>
  <c r="AA44" i="1" s="1"/>
  <c r="AD44" i="1" s="1"/>
  <c r="Y45" i="1"/>
  <c r="AA45" i="1" s="1"/>
  <c r="AD45" i="1" s="1"/>
  <c r="Y46" i="1"/>
  <c r="AA46" i="1" s="1"/>
  <c r="AD46" i="1" s="1"/>
  <c r="Y47" i="1"/>
  <c r="AA47" i="1" s="1"/>
  <c r="AD47" i="1" s="1"/>
  <c r="Y48" i="1"/>
  <c r="AA48" i="1" s="1"/>
  <c r="AD48" i="1" s="1"/>
  <c r="Y49" i="1"/>
  <c r="AA49" i="1" s="1"/>
  <c r="AD49" i="1" s="1"/>
  <c r="Y50" i="1"/>
  <c r="AA50" i="1" s="1"/>
  <c r="AD50" i="1" s="1"/>
  <c r="Y51" i="1"/>
  <c r="AA51" i="1" s="1"/>
  <c r="AD51" i="1" s="1"/>
  <c r="Y52" i="1"/>
  <c r="AA52" i="1" s="1"/>
  <c r="AD52" i="1" s="1"/>
  <c r="Y53" i="1"/>
  <c r="AA53" i="1" s="1"/>
  <c r="AD53" i="1" s="1"/>
  <c r="Y54" i="1"/>
  <c r="AA54" i="1" s="1"/>
  <c r="AD54" i="1" s="1"/>
  <c r="Y55" i="1"/>
  <c r="AA55" i="1" s="1"/>
  <c r="AD55" i="1" s="1"/>
  <c r="Y56" i="1"/>
  <c r="AA56" i="1" s="1"/>
  <c r="AD56" i="1" s="1"/>
  <c r="Y57" i="1"/>
  <c r="AA57" i="1" s="1"/>
  <c r="AD57" i="1" s="1"/>
  <c r="Y58" i="1"/>
  <c r="AA58" i="1" s="1"/>
  <c r="AD58" i="1" s="1"/>
  <c r="Y59" i="1"/>
  <c r="AA59" i="1" s="1"/>
  <c r="AD59" i="1" s="1"/>
  <c r="Y60" i="1"/>
  <c r="AA60" i="1" s="1"/>
  <c r="AD60" i="1" s="1"/>
  <c r="Y61" i="1"/>
  <c r="AA61" i="1" s="1"/>
  <c r="AD61" i="1" s="1"/>
  <c r="Y62" i="1"/>
  <c r="AA62" i="1" s="1"/>
  <c r="AD62" i="1" s="1"/>
  <c r="Y63" i="1"/>
  <c r="AA63" i="1" s="1"/>
  <c r="AD63" i="1" s="1"/>
  <c r="Y64" i="1"/>
  <c r="AA64" i="1" s="1"/>
  <c r="AD64" i="1" s="1"/>
  <c r="Y65" i="1"/>
  <c r="AA65" i="1" s="1"/>
  <c r="AD65" i="1" s="1"/>
  <c r="Y66" i="1"/>
  <c r="AA66" i="1" s="1"/>
  <c r="AD66" i="1" s="1"/>
  <c r="Y67" i="1"/>
  <c r="AA67" i="1" s="1"/>
  <c r="AD67" i="1" s="1"/>
  <c r="Y68" i="1"/>
  <c r="AA68" i="1" s="1"/>
  <c r="AD68" i="1" s="1"/>
  <c r="Y69" i="1"/>
  <c r="AA69" i="1" s="1"/>
  <c r="AD69" i="1" s="1"/>
  <c r="Y70" i="1"/>
  <c r="AA70" i="1" s="1"/>
  <c r="AD70" i="1" s="1"/>
  <c r="Y71" i="1"/>
  <c r="AA71" i="1" s="1"/>
  <c r="AD71" i="1" s="1"/>
  <c r="Y72" i="1"/>
  <c r="AA72" i="1" s="1"/>
  <c r="AD72" i="1" s="1"/>
  <c r="Y73" i="1"/>
  <c r="AA73" i="1" s="1"/>
  <c r="AD73" i="1" s="1"/>
  <c r="Y74" i="1"/>
  <c r="AA74" i="1" s="1"/>
  <c r="AD74" i="1" s="1"/>
  <c r="Y75" i="1"/>
  <c r="AA75" i="1" s="1"/>
  <c r="AD75" i="1" s="1"/>
  <c r="Y76" i="1"/>
  <c r="AA76" i="1" s="1"/>
  <c r="AD76" i="1" s="1"/>
  <c r="Y77" i="1"/>
  <c r="AA77" i="1" s="1"/>
  <c r="AD77" i="1" s="1"/>
  <c r="Y80" i="1"/>
  <c r="AA80" i="1" s="1"/>
  <c r="AD80" i="1" s="1"/>
  <c r="Y93" i="1"/>
  <c r="AA93" i="1" s="1"/>
  <c r="AD93" i="1" s="1"/>
  <c r="Y110" i="1"/>
  <c r="AA110" i="1" s="1"/>
  <c r="AD110" i="1" s="1"/>
  <c r="Y111" i="1"/>
  <c r="AA111" i="1" s="1"/>
  <c r="AD111" i="1" s="1"/>
  <c r="Y113" i="1"/>
  <c r="AA113" i="1" s="1"/>
  <c r="AD113" i="1" s="1"/>
  <c r="Q3" i="1"/>
  <c r="S3" i="1" s="1"/>
  <c r="AE3" i="1" s="1"/>
  <c r="Q4" i="1"/>
  <c r="S4" i="1" s="1"/>
  <c r="AE4" i="1" s="1"/>
  <c r="Q5" i="1"/>
  <c r="S5" i="1" s="1"/>
  <c r="AE5" i="1" s="1"/>
  <c r="Q6" i="1"/>
  <c r="S6" i="1" s="1"/>
  <c r="AE6" i="1" s="1"/>
  <c r="Q7" i="1"/>
  <c r="S7" i="1" s="1"/>
  <c r="AE7" i="1" s="1"/>
  <c r="Q8" i="1"/>
  <c r="S8" i="1" s="1"/>
  <c r="AE8" i="1" s="1"/>
  <c r="Q9" i="1"/>
  <c r="S9" i="1" s="1"/>
  <c r="AE9" i="1" s="1"/>
  <c r="Q10" i="1"/>
  <c r="S10" i="1" s="1"/>
  <c r="AE10" i="1" s="1"/>
  <c r="Q11" i="1"/>
  <c r="S11" i="1" s="1"/>
  <c r="AE11" i="1" s="1"/>
  <c r="Q12" i="1"/>
  <c r="S12" i="1" s="1"/>
  <c r="AE12" i="1" s="1"/>
  <c r="Q13" i="1"/>
  <c r="S13" i="1" s="1"/>
  <c r="AE13" i="1" s="1"/>
  <c r="Q14" i="1"/>
  <c r="S14" i="1" s="1"/>
  <c r="AE14" i="1" s="1"/>
  <c r="Q15" i="1"/>
  <c r="S15" i="1" s="1"/>
  <c r="AE15" i="1" s="1"/>
  <c r="Q16" i="1"/>
  <c r="S16" i="1" s="1"/>
  <c r="AE16" i="1" s="1"/>
  <c r="Q17" i="1"/>
  <c r="S17" i="1" s="1"/>
  <c r="AE17" i="1" s="1"/>
  <c r="Q18" i="1"/>
  <c r="S18" i="1" s="1"/>
  <c r="AE18" i="1" s="1"/>
  <c r="Q19" i="1"/>
  <c r="S19" i="1" s="1"/>
  <c r="AE19" i="1" s="1"/>
  <c r="Q20" i="1"/>
  <c r="S20" i="1" s="1"/>
  <c r="AE20" i="1" s="1"/>
  <c r="Q21" i="1"/>
  <c r="S21" i="1" s="1"/>
  <c r="AE21" i="1" s="1"/>
  <c r="Q22" i="1"/>
  <c r="S22" i="1" s="1"/>
  <c r="AE22" i="1" s="1"/>
  <c r="Q23" i="1"/>
  <c r="S23" i="1" s="1"/>
  <c r="AE23" i="1" s="1"/>
  <c r="Q24" i="1"/>
  <c r="S24" i="1" s="1"/>
  <c r="AE24" i="1" s="1"/>
  <c r="Q25" i="1"/>
  <c r="S25" i="1" s="1"/>
  <c r="AE25" i="1" s="1"/>
  <c r="Q26" i="1"/>
  <c r="S26" i="1" s="1"/>
  <c r="AE26" i="1" s="1"/>
  <c r="Q27" i="1"/>
  <c r="S27" i="1" s="1"/>
  <c r="AE27" i="1" s="1"/>
  <c r="Q28" i="1"/>
  <c r="S28" i="1" s="1"/>
  <c r="AE28" i="1" s="1"/>
  <c r="Q29" i="1"/>
  <c r="S29" i="1" s="1"/>
  <c r="AE29" i="1" s="1"/>
  <c r="Q30" i="1"/>
  <c r="S30" i="1" s="1"/>
  <c r="AE30" i="1" s="1"/>
  <c r="Q31" i="1"/>
  <c r="S31" i="1" s="1"/>
  <c r="AE31" i="1" s="1"/>
  <c r="Q32" i="1"/>
  <c r="S32" i="1" s="1"/>
  <c r="AE32" i="1" s="1"/>
  <c r="Q33" i="1"/>
  <c r="S33" i="1" s="1"/>
  <c r="AE33" i="1" s="1"/>
  <c r="Q34" i="1"/>
  <c r="S34" i="1" s="1"/>
  <c r="AE34" i="1" s="1"/>
  <c r="Q35" i="1"/>
  <c r="S35" i="1" s="1"/>
  <c r="AE35" i="1" s="1"/>
  <c r="Q36" i="1"/>
  <c r="S36" i="1" s="1"/>
  <c r="AE36" i="1" s="1"/>
  <c r="Q37" i="1"/>
  <c r="S37" i="1" s="1"/>
  <c r="AE37" i="1" s="1"/>
  <c r="Q38" i="1"/>
  <c r="S38" i="1" s="1"/>
  <c r="AE38" i="1" s="1"/>
  <c r="Q39" i="1"/>
  <c r="S39" i="1" s="1"/>
  <c r="AE39" i="1" s="1"/>
  <c r="Q40" i="1"/>
  <c r="S40" i="1" s="1"/>
  <c r="AE40" i="1" s="1"/>
  <c r="Q41" i="1"/>
  <c r="S41" i="1" s="1"/>
  <c r="AE41" i="1" s="1"/>
  <c r="Q42" i="1"/>
  <c r="S42" i="1" s="1"/>
  <c r="AE42" i="1" s="1"/>
  <c r="Q43" i="1"/>
  <c r="S43" i="1" s="1"/>
  <c r="AE43" i="1" s="1"/>
  <c r="Q44" i="1"/>
  <c r="S44" i="1" s="1"/>
  <c r="AE44" i="1" s="1"/>
  <c r="Q45" i="1"/>
  <c r="S45" i="1" s="1"/>
  <c r="AE45" i="1" s="1"/>
  <c r="Q46" i="1"/>
  <c r="S46" i="1" s="1"/>
  <c r="AE46" i="1" s="1"/>
  <c r="Q47" i="1"/>
  <c r="S47" i="1" s="1"/>
  <c r="AE47" i="1" s="1"/>
  <c r="Q48" i="1"/>
  <c r="S48" i="1" s="1"/>
  <c r="AE48" i="1" s="1"/>
  <c r="Q49" i="1"/>
  <c r="S49" i="1" s="1"/>
  <c r="AE49" i="1" s="1"/>
  <c r="Q50" i="1"/>
  <c r="S50" i="1" s="1"/>
  <c r="AE50" i="1" s="1"/>
  <c r="Q51" i="1"/>
  <c r="S51" i="1" s="1"/>
  <c r="AE51" i="1" s="1"/>
  <c r="Q52" i="1"/>
  <c r="S52" i="1" s="1"/>
  <c r="AE52" i="1" s="1"/>
  <c r="Q53" i="1"/>
  <c r="S53" i="1" s="1"/>
  <c r="AE53" i="1" s="1"/>
  <c r="Q54" i="1"/>
  <c r="S54" i="1" s="1"/>
  <c r="AE54" i="1" s="1"/>
  <c r="Q55" i="1"/>
  <c r="S55" i="1" s="1"/>
  <c r="AE55" i="1" s="1"/>
  <c r="Q56" i="1"/>
  <c r="S56" i="1" s="1"/>
  <c r="AE56" i="1" s="1"/>
  <c r="Q57" i="1"/>
  <c r="S57" i="1" s="1"/>
  <c r="AE57" i="1" s="1"/>
  <c r="Q58" i="1"/>
  <c r="S58" i="1" s="1"/>
  <c r="AE58" i="1" s="1"/>
  <c r="Q59" i="1"/>
  <c r="S59" i="1" s="1"/>
  <c r="AE59" i="1" s="1"/>
  <c r="Q60" i="1"/>
  <c r="S60" i="1" s="1"/>
  <c r="AE60" i="1" s="1"/>
  <c r="Q61" i="1"/>
  <c r="S61" i="1" s="1"/>
  <c r="AE61" i="1" s="1"/>
  <c r="Q62" i="1"/>
  <c r="S62" i="1" s="1"/>
  <c r="AE62" i="1" s="1"/>
  <c r="Q63" i="1"/>
  <c r="S63" i="1" s="1"/>
  <c r="AE63" i="1" s="1"/>
  <c r="Q64" i="1"/>
  <c r="S64" i="1" s="1"/>
  <c r="AE64" i="1" s="1"/>
  <c r="Q65" i="1"/>
  <c r="S65" i="1" s="1"/>
  <c r="AE65" i="1" s="1"/>
  <c r="Q66" i="1"/>
  <c r="S66" i="1" s="1"/>
  <c r="AE66" i="1" s="1"/>
  <c r="Q67" i="1"/>
  <c r="S67" i="1" s="1"/>
  <c r="AE67" i="1" s="1"/>
  <c r="Q68" i="1"/>
  <c r="S68" i="1" s="1"/>
  <c r="AE68" i="1" s="1"/>
  <c r="Q69" i="1"/>
  <c r="S69" i="1" s="1"/>
  <c r="AE69" i="1" s="1"/>
  <c r="Q70" i="1"/>
  <c r="S70" i="1" s="1"/>
  <c r="AE70" i="1" s="1"/>
  <c r="Q71" i="1"/>
  <c r="S71" i="1" s="1"/>
  <c r="AE71" i="1" s="1"/>
  <c r="Q72" i="1"/>
  <c r="S72" i="1" s="1"/>
  <c r="AE72" i="1" s="1"/>
  <c r="Q73" i="1"/>
  <c r="S73" i="1" s="1"/>
  <c r="AE73" i="1" s="1"/>
  <c r="Q74" i="1"/>
  <c r="S74" i="1" s="1"/>
  <c r="AE74" i="1" s="1"/>
  <c r="Q75" i="1"/>
  <c r="S75" i="1" s="1"/>
  <c r="AE75" i="1" s="1"/>
  <c r="Q76" i="1"/>
  <c r="S76" i="1" s="1"/>
  <c r="AE76" i="1" s="1"/>
  <c r="Q77" i="1"/>
  <c r="S77" i="1" s="1"/>
  <c r="AE77" i="1" s="1"/>
  <c r="Q80" i="1"/>
  <c r="S80" i="1" s="1"/>
  <c r="AE80" i="1" s="1"/>
  <c r="Q93" i="1"/>
  <c r="S93" i="1" s="1"/>
  <c r="AE93" i="1" s="1"/>
  <c r="Q110" i="1"/>
  <c r="S110" i="1" s="1"/>
  <c r="AE110" i="1" s="1"/>
  <c r="Q111" i="1"/>
  <c r="S111" i="1" s="1"/>
  <c r="AE111" i="1" s="1"/>
  <c r="Q113" i="1"/>
  <c r="S113" i="1" s="1"/>
  <c r="AE113" i="1" s="1"/>
  <c r="AI94" i="1" l="1"/>
  <c r="AI112" i="1"/>
  <c r="AI114" i="1"/>
  <c r="AI119" i="1"/>
  <c r="AI91" i="1"/>
  <c r="AI78" i="1"/>
  <c r="AI87" i="1"/>
  <c r="AI96" i="1"/>
  <c r="AI104" i="1"/>
  <c r="AI115" i="1"/>
  <c r="AI123" i="1"/>
  <c r="AI86" i="1"/>
  <c r="AI79" i="1"/>
  <c r="AI97" i="1"/>
  <c r="AI105" i="1"/>
  <c r="AI124" i="1"/>
  <c r="AI121" i="1"/>
  <c r="AI81" i="1"/>
  <c r="AI89" i="1"/>
  <c r="AI106" i="1"/>
  <c r="AI117" i="1"/>
  <c r="AI125" i="1"/>
  <c r="AI100" i="1"/>
  <c r="AI122" i="1"/>
  <c r="AI116" i="1"/>
  <c r="AI95" i="1"/>
  <c r="AI98" i="1"/>
  <c r="AI82" i="1"/>
  <c r="AI90" i="1"/>
  <c r="AI99" i="1"/>
  <c r="AI107" i="1"/>
  <c r="AI118" i="1"/>
  <c r="AI126" i="1"/>
  <c r="AI102" i="1"/>
  <c r="AI88" i="1"/>
  <c r="AI83" i="1"/>
  <c r="AI103" i="1"/>
  <c r="AI84" i="1"/>
  <c r="AI92" i="1"/>
  <c r="AI101" i="1"/>
  <c r="AI109" i="1"/>
  <c r="AI120" i="1"/>
  <c r="AI85" i="1"/>
  <c r="AI108" i="1"/>
  <c r="AI72" i="1"/>
  <c r="AI110" i="1"/>
  <c r="AI93" i="1"/>
  <c r="AI77" i="1"/>
  <c r="AI69" i="1"/>
  <c r="AI61" i="1"/>
  <c r="AI53" i="1"/>
  <c r="AI45" i="1"/>
  <c r="AI37" i="1"/>
  <c r="AI29" i="1"/>
  <c r="AI21" i="1"/>
  <c r="AI13" i="1"/>
  <c r="AI5" i="1"/>
  <c r="AI8" i="1"/>
  <c r="AI40" i="1"/>
  <c r="AI48" i="1"/>
  <c r="AI60" i="1"/>
  <c r="AI71" i="1"/>
  <c r="AI76" i="1"/>
  <c r="AI36" i="1"/>
  <c r="AI28" i="1"/>
  <c r="AI20" i="1"/>
  <c r="AI67" i="1"/>
  <c r="AI68" i="1"/>
  <c r="AI44" i="1"/>
  <c r="AI4" i="1"/>
  <c r="AI52" i="1"/>
  <c r="AI12" i="1"/>
  <c r="AI64" i="1"/>
  <c r="AI56" i="1"/>
  <c r="AI32" i="1"/>
  <c r="AI80" i="1"/>
  <c r="AI16" i="1"/>
  <c r="AI24" i="1"/>
  <c r="AI75" i="1"/>
  <c r="AI59" i="1"/>
  <c r="AI51" i="1"/>
  <c r="AI43" i="1"/>
  <c r="AI35" i="1"/>
  <c r="AI27" i="1"/>
  <c r="AI19" i="1"/>
  <c r="AI11" i="1"/>
  <c r="AI3" i="1"/>
  <c r="AI63" i="1"/>
  <c r="AI31" i="1"/>
  <c r="AI74" i="1"/>
  <c r="AI50" i="1"/>
  <c r="AI26" i="1"/>
  <c r="AI113" i="1"/>
  <c r="AI73" i="1"/>
  <c r="AI65" i="1"/>
  <c r="AI49" i="1"/>
  <c r="AI41" i="1"/>
  <c r="AI25" i="1"/>
  <c r="AI17" i="1"/>
  <c r="AI9" i="1"/>
  <c r="AI55" i="1"/>
  <c r="AI23" i="1"/>
  <c r="AI66" i="1"/>
  <c r="AI34" i="1"/>
  <c r="AI10" i="1"/>
  <c r="AI57" i="1"/>
  <c r="AI33" i="1"/>
  <c r="AI58" i="1"/>
  <c r="AI42" i="1"/>
  <c r="AI18" i="1"/>
  <c r="AI111" i="1"/>
  <c r="AI47" i="1"/>
  <c r="AI15" i="1"/>
  <c r="AI70" i="1"/>
  <c r="AI62" i="1"/>
  <c r="AI54" i="1"/>
  <c r="AI46" i="1"/>
  <c r="AI38" i="1"/>
  <c r="AI30" i="1"/>
  <c r="AI22" i="1"/>
  <c r="AI14" i="1"/>
  <c r="AI6" i="1"/>
  <c r="AI39" i="1"/>
  <c r="AI7" i="1"/>
  <c r="AF2" i="1"/>
  <c r="Y2" i="1"/>
  <c r="AA2" i="1" s="1"/>
  <c r="AD2" i="1" s="1"/>
  <c r="Q2" i="1"/>
  <c r="S2" i="1" s="1"/>
  <c r="AE2" i="1" s="1"/>
  <c r="AI2" i="1" l="1"/>
</calcChain>
</file>

<file path=xl/sharedStrings.xml><?xml version="1.0" encoding="utf-8"?>
<sst xmlns="http://schemas.openxmlformats.org/spreadsheetml/2006/main" count="1795" uniqueCount="390">
  <si>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</si>
  <si>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</si>
  <si>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</si>
  <si>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</si>
  <si>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</si>
  <si>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</si>
  <si>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</si>
  <si>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</si>
  <si>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</si>
  <si>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</si>
  <si>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</si>
  <si>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</si>
  <si>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</si>
  <si>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</si>
  <si>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</si>
  <si>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</si>
  <si>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</si>
  <si>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</si>
  <si>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</si>
  <si>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</si>
  <si>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</si>
  <si>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</si>
  <si>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</si>
  <si>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</si>
  <si>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</si>
  <si>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</si>
  <si>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</si>
  <si>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</si>
  <si>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</si>
  <si>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</si>
  <si>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</si>
  <si>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</si>
  <si>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</si>
  <si>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</si>
  <si>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</si>
  <si>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</si>
  <si>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</si>
  <si>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TM SEG</t>
  </si>
  <si>
    <t>18/05/2026 à 24/05/2026</t>
  </si>
  <si>
    <t>FINALIZADA</t>
  </si>
  <si>
    <t>DISTRIBUIÇÃO SC</t>
  </si>
  <si>
    <t>QCH6C12</t>
  </si>
  <si>
    <t/>
  </si>
  <si>
    <t>FLORIANÓPOLIS, SC</t>
  </si>
  <si>
    <t>SC</t>
  </si>
  <si>
    <t>DISTRIBUIÇÃO RJ</t>
  </si>
  <si>
    <t>TYS6H54</t>
  </si>
  <si>
    <t>KVT8400</t>
  </si>
  <si>
    <t>RIO DE JANEIRO, RJ</t>
  </si>
  <si>
    <t>RJ</t>
  </si>
  <si>
    <t>RAIO SP 200 KM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</si>
  <si>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</si>
  <si>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</si>
  <si>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</si>
  <si>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</si>
  <si>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</si>
  <si>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TYS6I69</t>
  </si>
  <si>
    <t>SEE5I43</t>
  </si>
  <si>
    <t>CANCELADA</t>
  </si>
  <si>
    <t>ESTR. DOS ALPES, 320 - JARDIM ITAQUITI, BARUERI - SP, 06423-080</t>
  </si>
  <si>
    <t>DISTRIBUIÇÃO GO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</si>
  <si>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</si>
  <si>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</si>
  <si>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</si>
  <si>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</si>
  <si>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</si>
  <si>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RAIO ES 300 KM</t>
  </si>
  <si>
    <t>1554038,1554038,1554038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</si>
  <si>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</si>
  <si>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</si>
  <si>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</si>
  <si>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</si>
  <si>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</si>
  <si>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</si>
  <si>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</si>
  <si>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</si>
  <si>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</si>
  <si>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</si>
  <si>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</si>
  <si>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</si>
  <si>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</si>
  <si>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</si>
  <si>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</si>
  <si>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</si>
  <si>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</si>
  <si>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POUSO ALEGRE, MG, 37550-000</t>
  </si>
  <si>
    <t>MG</t>
  </si>
  <si>
    <t>DISTRIBUIÇÃO SP</t>
  </si>
  <si>
    <t>UGU6E48</t>
  </si>
  <si>
    <t>DHL5F75</t>
  </si>
  <si>
    <t>AEROPORTO, GUARULHOS - SP</t>
  </si>
  <si>
    <t>AV. TAMBORE, 1400 - 1440 - ALPHAVILLE, BARUERI - SP, 06460-000</t>
  </si>
  <si>
    <t>TEE3H07</t>
  </si>
  <si>
    <t>TEE3H27</t>
  </si>
  <si>
    <t>QSP5J12</t>
  </si>
  <si>
    <t>FZP1E40</t>
  </si>
  <si>
    <t>JANDIRA, SP</t>
  </si>
  <si>
    <t>QOT6013</t>
  </si>
  <si>
    <t>FFD2F77</t>
  </si>
  <si>
    <t>RAIO MG 200 KM</t>
  </si>
  <si>
    <t>GCG5H13</t>
  </si>
  <si>
    <t>GBB2C77</t>
  </si>
  <si>
    <t>ROD. FERNÃO DIAS, 221 - EXTREMA, MG, 37418-760</t>
  </si>
  <si>
    <t>RAIO SC 500 KM</t>
  </si>
  <si>
    <t>SBE0G46</t>
  </si>
  <si>
    <t>R. VER. GERMANO LUÍS VIÊIRA, 1-1300 - ITAIPAVA, ITAJAÍ - SC, 88316-701</t>
  </si>
  <si>
    <t>AV. CECI, 1900 - JARDIM MUTINGA, BARUERI - SP, 06460-120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</si>
  <si>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</si>
  <si>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</si>
  <si>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</si>
  <si>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</si>
  <si>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RFY7C15</t>
  </si>
  <si>
    <t>ENI5A67</t>
  </si>
  <si>
    <t>AV. CAMINHO DE GOIÁS, 100 - JARDIM SAO BENTO, JUNDIAÍ - SP, 13214-870</t>
  </si>
  <si>
    <t>RAIO 100 KM — DESTINO A DEFINIR</t>
  </si>
  <si>
    <t>UDD1C04</t>
  </si>
  <si>
    <t>ESU8062</t>
  </si>
  <si>
    <t>UED5C46</t>
  </si>
  <si>
    <t>GIE0I11</t>
  </si>
  <si>
    <t>ROD. VICE PREF. HERMENEGILDO TONOLI - MEDEIROS, JUNDIAÍ - SP</t>
  </si>
  <si>
    <t>ESTR. MUN. JOSÉ SEDANO - TECHNO PARK, CAMPINAS - SP</t>
  </si>
  <si>
    <t>GUARULHOS-SERRA</t>
  </si>
  <si>
    <t>SHI3B20</t>
  </si>
  <si>
    <t>LKU9E00</t>
  </si>
  <si>
    <t>SERRA, ES</t>
  </si>
  <si>
    <t>TXW5H42</t>
  </si>
  <si>
    <t>DPE4F99</t>
  </si>
  <si>
    <t>QNN1F85</t>
  </si>
  <si>
    <t>GBK8I71</t>
  </si>
  <si>
    <t>UER7D08</t>
  </si>
  <si>
    <t>QJE8226</t>
  </si>
  <si>
    <t>RAIO SP 400 KM</t>
  </si>
  <si>
    <t>TEE3G85</t>
  </si>
  <si>
    <t>RAIO 400 KM — DESTINO A DEFINIR</t>
  </si>
  <si>
    <t>TJC1H27</t>
  </si>
  <si>
    <t>PXA5I78</t>
  </si>
  <si>
    <t>UGE6F20</t>
  </si>
  <si>
    <t>LPT9C46</t>
  </si>
  <si>
    <t>SÃO PAULO, SP</t>
  </si>
  <si>
    <t>IYT1G31</t>
  </si>
  <si>
    <t>IQM2H22</t>
  </si>
  <si>
    <t>DISTRIBUIÇÃO DF</t>
  </si>
  <si>
    <t>SIS6B65</t>
  </si>
  <si>
    <t>JAS0D14</t>
  </si>
  <si>
    <t>LAGO SUL, BRASÍLIA - DF, 71608-900</t>
  </si>
  <si>
    <t>DF</t>
  </si>
  <si>
    <t>BRASÍLIA - DF</t>
  </si>
  <si>
    <t>EDU9459</t>
  </si>
  <si>
    <t>BCN2A46</t>
  </si>
  <si>
    <t>UGB6J68</t>
  </si>
  <si>
    <t>GFD0160</t>
  </si>
  <si>
    <t>UGL7E48</t>
  </si>
  <si>
    <t>UER1B84</t>
  </si>
  <si>
    <t>AV. TALMA RODRIGUES RIBEIRO, 147 - VILA NOVA DE COLARES, SERRA - ES, 29172-038</t>
  </si>
  <si>
    <t>ITAPEVI-SÃO PAULO</t>
  </si>
  <si>
    <t>TJK6D06</t>
  </si>
  <si>
    <t>FOE8C24</t>
  </si>
  <si>
    <t>ROD. CEL. PM NELSON TRANCHESI, 1730 - ITAQUI, ITAPEVI - SP, 06696-110</t>
  </si>
  <si>
    <t>DISTRIBUIÇÃO ES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</si>
  <si>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</si>
  <si>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</si>
  <si>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</si>
  <si>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</si>
  <si>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</si>
  <si>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PXX8662</t>
  </si>
  <si>
    <t>FAZENDA GRANDE, JUNDIAÍ - SP, 13213</t>
  </si>
  <si>
    <t>AV. WASHINGTON LUÍS, S/N - JARDIM AEROPORTO, SÃO PAULO - SP, 04626-000</t>
  </si>
  <si>
    <t>PYO4B63</t>
  </si>
  <si>
    <t>SXI7D62</t>
  </si>
  <si>
    <t>AV. DEP. DIOMÍCIO FREITAS, 3125 - CARIANOS, FLORIANÓPOLIS - SC, 88047-402</t>
  </si>
  <si>
    <t>SC-407, 2800 - VENDAVAL, BIGUAÇU - SC, 88164-169</t>
  </si>
  <si>
    <t>GDZ7I93</t>
  </si>
  <si>
    <t>FAO7H13</t>
  </si>
  <si>
    <t>EXTREMA-PORTO ALEGRE</t>
  </si>
  <si>
    <t>SYR0J20</t>
  </si>
  <si>
    <t>DHL5F48</t>
  </si>
  <si>
    <t>VARGINHA, MG</t>
  </si>
  <si>
    <t>SANTA ROSA, RS</t>
  </si>
  <si>
    <t>HORTOLÂNDIA-BARUERI</t>
  </si>
  <si>
    <t>CUA6D75</t>
  </si>
  <si>
    <t>AV. DA EMANCIPAÇÃO, 5000 - PARQUE DOS PINHEIROS, HORTOLÂNDIA - SP, 13184-654</t>
  </si>
  <si>
    <t>RAIO RS 500 KM</t>
  </si>
  <si>
    <t>IMS3H22</t>
  </si>
  <si>
    <t>AV. BORGES DE MEDEIROS, 1771 - COLONIAL, SAPUCAIA DO SUL - RS, 93212-110</t>
  </si>
  <si>
    <t>RAIO 500 KM — DESTINO A DEFINIR</t>
  </si>
  <si>
    <t>DISTRIBUIÇÃO PR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</si>
  <si>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</si>
  <si>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</si>
  <si>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</si>
  <si>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</si>
  <si>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</si>
  <si>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</si>
  <si>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</si>
  <si>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</si>
  <si>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</si>
  <si>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</si>
  <si>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</si>
  <si>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BDW0G94</t>
  </si>
  <si>
    <t>RLN3I04</t>
  </si>
  <si>
    <t>R. VER. GERMANO LUÍS VIÊIRA - ITAIPAVA, ITAJAÍ - SC</t>
  </si>
  <si>
    <t>AV. CECI - TAMBORÉ, BARUERI - SP, 06460-120</t>
  </si>
  <si>
    <t>UDP9A18</t>
  </si>
  <si>
    <t>DISTRIBUIÇÃO MG</t>
  </si>
  <si>
    <t>OPP0C52</t>
  </si>
  <si>
    <t>LMG-800, KM 7.9, S/N - RODOVIARIO, CONFINS - MG, 33500-000</t>
  </si>
  <si>
    <t>DISTRIBUIÇÃO BA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</si>
  <si>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</si>
  <si>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</si>
  <si>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</si>
  <si>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</si>
  <si>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</si>
  <si>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</si>
  <si>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ROD. FERNÃO DIAS, KM 947 - PIRES, EXTREMA - MG, 37640-000</t>
  </si>
  <si>
    <t>ROD. FERNÃO DIAS</t>
  </si>
  <si>
    <t>FQO6B16</t>
  </si>
  <si>
    <t>ROD. SANTOS DUMONT, KM 66 - PARQUE UNIVERSITARIO DE VIRACOPOS, CAMPINAS - SP, 13055-900</t>
  </si>
  <si>
    <t>RAIO GO 200 KM</t>
  </si>
  <si>
    <t>TFR6D49</t>
  </si>
  <si>
    <t>AV. NORBERTO JOSÉ TEIXEIRA - APARECIDA DE GOIÂNIA, GO</t>
  </si>
  <si>
    <t>BARUERI-BRASILIA</t>
  </si>
  <si>
    <t>AXJ7C64</t>
  </si>
  <si>
    <t>BRASÍLIA - PLANO PILOTO, BRASÍLIA - DF</t>
  </si>
  <si>
    <t>AIL9G83</t>
  </si>
  <si>
    <t>EFO2H92</t>
  </si>
  <si>
    <t>QUF7J47</t>
  </si>
  <si>
    <t>IYN2H16</t>
  </si>
  <si>
    <t>SAPUCAIA DO SUL, RS</t>
  </si>
  <si>
    <t>PORTAL DA SERRA, DOIS IRMÃOS - RS, 93950-000</t>
  </si>
  <si>
    <t>IYH5158</t>
  </si>
  <si>
    <t>MES9G07</t>
  </si>
  <si>
    <t>AV INDUSTRIAL BELGRAF</t>
  </si>
  <si>
    <t>ITAPEVI-PORTO ALEGRE</t>
  </si>
  <si>
    <t>UFQ6F68</t>
  </si>
  <si>
    <t>DII5B09</t>
  </si>
  <si>
    <t>AV. INDUSTRIAL BELGRAF, 865 - BAIRRO INDUSTRIAL, ELDORADO DO SUL - RS, 92990-000</t>
  </si>
  <si>
    <t>BDL9F88</t>
  </si>
  <si>
    <t>AV. SEVERO DULLIUS, 90010 - ANCHIETA, PORTO ALEGRE - RS, 90200-310</t>
  </si>
  <si>
    <t>UDE1G87</t>
  </si>
  <si>
    <t>DHW6H63</t>
  </si>
  <si>
    <t>ESTR. DA PEDREIRA, 242 - PEDREIRA, NOVA SANTA RITA - RS, 92480-000</t>
  </si>
  <si>
    <t>1559362,1559362,1559362,1559362</t>
  </si>
  <si>
    <t>EFO2432</t>
  </si>
  <si>
    <t>RAIO GO 300 KM</t>
  </si>
  <si>
    <t>TCI5J35</t>
  </si>
  <si>
    <t>JAN1H26</t>
  </si>
  <si>
    <t>BARRAVENTO, GOIÂNIA - GO, 74594-111</t>
  </si>
  <si>
    <t>TCH8H54</t>
  </si>
  <si>
    <t>GDR8G97</t>
  </si>
  <si>
    <t>1559570,1559570,1559570,1559570</t>
  </si>
  <si>
    <t>UDK9E78</t>
  </si>
  <si>
    <t>HFD4611</t>
  </si>
  <si>
    <t>EXTREMA, MG, 37640-000</t>
  </si>
  <si>
    <t>RNP1H10</t>
  </si>
  <si>
    <t>EKH7I85</t>
  </si>
  <si>
    <t>EXTREMA-CONTAGEM</t>
  </si>
  <si>
    <t>1559569,1559569,1559569</t>
  </si>
  <si>
    <t>GBS5F32</t>
  </si>
  <si>
    <t>GGS8H28</t>
  </si>
  <si>
    <t>EXTREMA - MG, 37640-000</t>
  </si>
  <si>
    <t>RKD5I64</t>
  </si>
  <si>
    <t>TKN2I22</t>
  </si>
  <si>
    <t>ERS1002</t>
  </si>
  <si>
    <t>BARUERI-BELO HORIZONTE</t>
  </si>
  <si>
    <t>FDU1438</t>
  </si>
  <si>
    <t>BELO HORIZONTE, MG</t>
  </si>
  <si>
    <t>GJC1E94</t>
  </si>
  <si>
    <t>IZK0H67</t>
  </si>
  <si>
    <t>IYK5768</t>
  </si>
  <si>
    <t>EMF5785</t>
  </si>
  <si>
    <t>EFV7A71</t>
  </si>
  <si>
    <t>OKG4C77</t>
  </si>
  <si>
    <t>QIH8B16</t>
  </si>
  <si>
    <t>R. VER. GERMANO LUÍS VIÊIRA, 500 - ITAIPAVA, ITAJAÍ - SC, 88316-701</t>
  </si>
  <si>
    <t>25/05/2026 à 31/05/2026</t>
  </si>
  <si>
    <t>UES3H48</t>
  </si>
  <si>
    <t>RAIO RS 200 KM</t>
  </si>
  <si>
    <t>IYU7F17</t>
  </si>
  <si>
    <t>QJG3F51</t>
  </si>
  <si>
    <t>DBM8E06</t>
  </si>
  <si>
    <t>ROD. HÉLIO SMIDT, S/Nº - CUMBICA, GUARULHOS - SP, 07140</t>
  </si>
  <si>
    <t>JUNDIAI-CAJAMAR</t>
  </si>
  <si>
    <t>TXW5H39</t>
  </si>
  <si>
    <t>FTP3C53</t>
  </si>
  <si>
    <t>ROD. VICE PREF. HERMENEGILDO TONOLI, 1500 - AGLOMERAÇÃO URBANA DE JUNDIAÍ, JUNDIAÍ - SP, 13213-086</t>
  </si>
  <si>
    <t>CAJAMAR, SP</t>
  </si>
  <si>
    <t>TXW5H44</t>
  </si>
  <si>
    <t>ANM7240</t>
  </si>
  <si>
    <t>SP-354, 1401 - VILA UNIAO, CAJAMAR - SP, 07750-000</t>
  </si>
  <si>
    <t>TXW5H55</t>
  </si>
  <si>
    <t>RAIO SC 200 KM</t>
  </si>
  <si>
    <t>QUN7H11</t>
  </si>
  <si>
    <t>R. PEDROSO ALVARENGA, 58 - CHÁCARA ITAIM, SÃO PAULO - SP, 04531-000</t>
  </si>
  <si>
    <t>GIV2J67</t>
  </si>
  <si>
    <t>ROD. ANCHIETA, 820 - CHICO DE PAULA, SANTOS - SP, 11095-000</t>
  </si>
  <si>
    <t>EHH9B54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</si>
  <si>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</si>
  <si>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</si>
  <si>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</si>
  <si>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</si>
  <si>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GFD0G31</t>
  </si>
  <si>
    <t>GUARULHOS-SÃO JOSE DOS PINHAIS</t>
  </si>
  <si>
    <t>BHY5F12</t>
  </si>
  <si>
    <t>FYQ2F92</t>
  </si>
  <si>
    <t>R. FRANCISCO MUNÕZ MADRID, 625 - ACADEMIA, SÃO JOSÉ DOS PINHAIS - PR, 83070-010</t>
  </si>
  <si>
    <t>EGJ2E56</t>
  </si>
  <si>
    <t>ROD. HÉLIO SMIDT, S/Nº - AEROPORTO, GUARULHOS - SP, 07190-100</t>
  </si>
  <si>
    <t>TXW5H41</t>
  </si>
  <si>
    <t>DPC5D84</t>
  </si>
  <si>
    <t>JARDIM PRINCESA D'OESTE, CAMPINAS - SP, 13055, BRASIL</t>
  </si>
  <si>
    <t>GUARULHOS-CONTAGEM</t>
  </si>
  <si>
    <t>TJU2G26</t>
  </si>
  <si>
    <t>AV. ÁPIO CARDOSO, 577 - CINCAO, CONTAGEM - MG, 32371-615</t>
  </si>
  <si>
    <t>GUARULHOS-BRASILIA</t>
  </si>
  <si>
    <t>FHV9B91</t>
  </si>
  <si>
    <t>BR-040, KM 5 - SANTA MARIA, BRASÍLIA - DF, 72549-650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</si>
  <si>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</si>
  <si>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</si>
  <si>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</si>
  <si>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EKH7G80</t>
  </si>
  <si>
    <t>R. PATAXÓS, 1412 - PATAXOS, EMBU DAS ARTES - SP, 06833-073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</si>
  <si>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</si>
  <si>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</si>
  <si>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</si>
  <si>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</si>
  <si>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SEG5H54</t>
  </si>
  <si>
    <t>BR-101 - JARDIM JORDÃO, JABOATÃO DOS GUARARAPES - PE</t>
  </si>
  <si>
    <t>RAIO ES 200 KM</t>
  </si>
  <si>
    <t>SBP7F90</t>
  </si>
  <si>
    <t>MRR5J55</t>
  </si>
  <si>
    <t>R. PORTO ALEGRE, 307 - ALTEROSAS, SERRA - ES, 29167-036</t>
  </si>
  <si>
    <t>BQU9508</t>
  </si>
  <si>
    <t>ROD. FERNÃO DIAS - EXTREMA, MG, 37640-000</t>
  </si>
  <si>
    <t>R. PANAMBI, 191 - CIDADE INDUSTRIAL SATÉLITE DE SÃO PAULO, GUARULHOS - SP, 07224-130</t>
  </si>
  <si>
    <t>EPU7555</t>
  </si>
  <si>
    <t>ESTR. MUN. LUIZ LOPES NETO - EXTREMA, MG, 37640-000</t>
  </si>
  <si>
    <t>BARUERI-EXTREMA</t>
  </si>
  <si>
    <t>UDE1E99</t>
  </si>
  <si>
    <t>UDC4I21</t>
  </si>
  <si>
    <t>AV. TAMBORE, 1440 - TAMBORÉ, BARUERI - SP, 06460-000</t>
  </si>
  <si>
    <t>ROD. FERNÃO DIAS - EXTREMA, MG</t>
  </si>
  <si>
    <t>QSZ5J87</t>
  </si>
  <si>
    <t>TKY0D27</t>
  </si>
  <si>
    <t>1566432,1566432,1566432</t>
  </si>
  <si>
    <t>TPI5I74</t>
  </si>
  <si>
    <t>QIL9B88</t>
  </si>
  <si>
    <t>R. VER. GERMANO L VIEIRA - ITAIPAVA, ITAJAÍ - SC</t>
  </si>
  <si>
    <t>ROD. HENRIQUE HERWIG, TIJUCAS DO SUL - PR</t>
  </si>
  <si>
    <t>RTC6J09</t>
  </si>
  <si>
    <t>GUARULHOS-HIDROLANDIA</t>
  </si>
  <si>
    <t>1566764,1566764,1566764</t>
  </si>
  <si>
    <t>FTX4F85</t>
  </si>
  <si>
    <t>COLOMBO, PR</t>
  </si>
  <si>
    <t>IVK5768</t>
  </si>
  <si>
    <t>IPR6955</t>
  </si>
  <si>
    <t>BQU9E47</t>
  </si>
  <si>
    <t>UDN9C89</t>
  </si>
  <si>
    <t>QRH1G74</t>
  </si>
  <si>
    <t>GHJ3H54</t>
  </si>
  <si>
    <t>FCH9H26</t>
  </si>
  <si>
    <t>DTC1592</t>
  </si>
  <si>
    <t>ITAPEVI-LONDRINA</t>
  </si>
  <si>
    <t>ESP6E44</t>
  </si>
  <si>
    <t>EWU8G13</t>
  </si>
  <si>
    <t>FLT2G14</t>
  </si>
  <si>
    <t>MALHA</t>
  </si>
  <si>
    <t>EM ANALISE</t>
  </si>
  <si>
    <t>OK</t>
  </si>
  <si>
    <t>CONSTA NA FRANQUIA DE RS - 100KM O VALOR 735,00 POR FAVOR VALIDAR.</t>
  </si>
  <si>
    <t>AGENDA TM SEG TSMS</t>
  </si>
  <si>
    <t>DIFERENTE</t>
  </si>
  <si>
    <t xml:space="preserve">SE ATENTAR NO AGENDAMENTO DA ESCOLTA </t>
  </si>
  <si>
    <t>CONSTA NA FRANQUIA DE SC - 100KM O VALOR 735,00 POR FAVOR VALIDAR.</t>
  </si>
  <si>
    <t>CONSTA NA FRANQUIA DE MG - 200KM O VALOR 1460,00 POR FAVOR VALIDAR.</t>
  </si>
  <si>
    <t>CONSTA NA FRANQUIA DE SP - 200KM O VALOR 1380,00, E POR FAVOR CONSIDERA APENAS OS 200KM.</t>
  </si>
  <si>
    <t>CONSTA NA FRANQUIA DE SP - 100KM O VALOR 690,00 POR FAVOR VALIDAR.</t>
  </si>
  <si>
    <t>POR GENTILEZA COLOCAR O HORARIO DE INCIO E FIM REAL DA MISSÃO</t>
  </si>
  <si>
    <t xml:space="preserve">CONSIDERA ROTA FIXA DE BARUERI X SÃO JOSE DOS PINHAIS </t>
  </si>
  <si>
    <t xml:space="preserve">CONSIDERA ROTA FIXA DE GUARULHOS X SÃO JOSE DOS PINHAIS </t>
  </si>
  <si>
    <t xml:space="preserve">CONSIDERA A ROTA FIXA GUARULHOS X LONDRINA </t>
  </si>
  <si>
    <t>CONSIDERA A ROTA FIXA GUARULHOS X CONTAGEM</t>
  </si>
  <si>
    <t>CONSTA NA FRANQUIA DE MG - 200KM O VALOR 1460,00 POR FAVOR VALIDAR</t>
  </si>
  <si>
    <t>CONSTA NA FRANQUIA DE MG - 200KM O VALOR 1460,00 POR FAVOR VALIDAR, CONSIDERA APENAS OS 200KM</t>
  </si>
  <si>
    <t>CONSIDERA A FRANQUIA INVERSA DE BARUERI X JOINVEILLE.</t>
  </si>
  <si>
    <t>CONSIDERA A ROTA FIXA GUARULHOS X SERRA - ES</t>
  </si>
  <si>
    <t xml:space="preserve">CONSIDERA A ROTA FIXA GUARULHOS X BRASILIA </t>
  </si>
  <si>
    <t xml:space="preserve">CONSIDERA A ROTA FIXA BARUERI X BRASILIA </t>
  </si>
  <si>
    <t>CONSIDERA A ROTA MAIS PROXIMA  ITAPEVI X PORTO ALEGRE</t>
  </si>
  <si>
    <t>CONSIDERA A ROTA MAIS PROXIMA  BARUERI X BELO HORIZONTE</t>
  </si>
  <si>
    <t>CONSIDERA A ROTA MAIS PROXIMA GUARULHOS X FORTALEZA</t>
  </si>
  <si>
    <t>CONSIDERA A FRANQUIA MAIS PROXIMA BARUERI X JABOATÃO DOS GUARARAPES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</si>
</sst>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[h]:mm:ss;@"/>
  </numFmts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rgb="FFFFFFFF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5" fillId="2" borderId="1" xfId="0" applyNumberFormat="1" applyFont="1" applyFill="1" applyBorder="1" applyAlignment="1">
      <alignment horizontal="center" vertical="center"/>
    </xf>
    <xf numFmtId="46" fontId="5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4" fontId="2" fillId="3" borderId="1" xfId="0" applyNumberFormat="1" applyFont="1" applyFill="1" applyBorder="1" applyAlignment="1">
      <alignment horizontal="center" vertical="center" wrapText="1"/>
    </xf>
    <xf numFmtId="44" fontId="1" fillId="6" borderId="1" xfId="0" applyNumberFormat="1" applyFont="1" applyFill="1" applyBorder="1" applyAlignment="1">
      <alignment horizontal="center" vertical="center" wrapText="1"/>
    </xf>
    <xf numFmtId="44" fontId="5" fillId="2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0" fillId="0" borderId="0" xfId="0" applyNumberFormat="1"/>
    <xf numFmtId="165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6"/>
  <sheetViews>
    <sheetView tabSelected="1" topLeftCell="F1" workbookViewId="0">
      <pane xSplit="4" ySplit="1" topLeftCell="AG111" activePane="bottomRight" state="frozen"/>
      <selection activeCell="F1" sqref="F1"/>
      <selection pane="topRight" activeCell="J1" sqref="J1"/>
      <selection pane="bottomLeft" activeCell="F2" sqref="F2"/>
      <selection pane="bottomRight" activeCell="AM99" sqref="AM99"/>
    </sheetView>
  </sheetViews>
  <sheetFormatPr defaultRowHeight="14.5" x14ac:dyDescent="0.35"/>
  <cols>
    <col min="1" max="1" width="16.453125" hidden="1" customWidth="1"/>
    <col min="2" max="2" width="18.1796875" hidden="1" customWidth="1"/>
    <col min="3" max="3" width="13.1796875" hidden="1" customWidth="1"/>
    <col min="4" max="4" width="22.81640625" hidden="1" customWidth="1"/>
    <col min="5" max="5" width="27.453125" hidden="1" customWidth="1"/>
    <col min="6" max="6" width="9.1796875" customWidth="1"/>
    <col min="7" max="7" width="25.1796875" hidden="1" customWidth="1"/>
    <col min="8" max="8" width="9.453125" hidden="1" customWidth="1"/>
    <col min="9" max="9" width="19" hidden="1" customWidth="1"/>
    <col min="10" max="10" width="16.453125" customWidth="1"/>
    <col min="11" max="11" width="43.26953125" customWidth="1"/>
    <col min="12" max="12" width="13.26953125" customWidth="1"/>
    <col min="13" max="13" width="23.453125" customWidth="1"/>
    <col min="14" max="14" width="13.54296875" customWidth="1"/>
    <col min="15" max="15" width="12.54296875" customWidth="1"/>
    <col min="16" max="16" width="12.1796875" customWidth="1"/>
    <col min="17" max="17" width="12.54296875" customWidth="1"/>
    <col min="18" max="18" width="15.453125" customWidth="1"/>
    <col min="19" max="19" width="16.1796875" customWidth="1"/>
    <col min="20" max="20" width="19.81640625" customWidth="1"/>
    <col min="21" max="21" width="17.453125" customWidth="1"/>
    <col min="22" max="22" width="22.54296875" bestFit="1" customWidth="1"/>
    <col min="23" max="23" width="13.54296875" bestFit="1" customWidth="1"/>
    <col min="24" max="24" width="17.453125" customWidth="1"/>
    <col min="25" max="25" width="14.1796875" customWidth="1"/>
    <col min="26" max="26" width="15" customWidth="1"/>
    <col min="27" max="27" width="17.81640625" customWidth="1"/>
    <col min="28" max="28" width="28.26953125" style="21" customWidth="1"/>
    <col min="29" max="29" width="28.54296875" style="21" bestFit="1" customWidth="1"/>
    <col min="30" max="30" width="25.81640625" style="21" customWidth="1"/>
    <col min="31" max="31" width="28.453125" style="21" customWidth="1"/>
    <col min="32" max="32" width="22.26953125" style="21" customWidth="1"/>
    <col min="33" max="33" width="30.453125" style="21" bestFit="1" customWidth="1"/>
    <col min="34" max="34" width="11.54296875" style="21" bestFit="1" customWidth="1"/>
    <col min="35" max="35" width="19.54296875" style="21" bestFit="1" customWidth="1"/>
    <col min="36" max="36" width="13.26953125" bestFit="1" customWidth="1"/>
    <col min="37" max="37" width="10.1796875" bestFit="1" customWidth="1"/>
    <col min="38" max="38" width="16.1796875" bestFit="1" customWidth="1"/>
    <col min="39" max="39" width="83.81640625" bestFit="1" customWidth="1"/>
    <col min="40" max="40" width="11.1796875" bestFit="1" customWidth="1"/>
  </cols>
  <sheetData>
    <row r="1" spans="1:40" s="5" customFormat="1" ht="12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0" t="s">
        <v>17</v>
      </c>
      <c r="S1" s="12" t="s">
        <v>18</v>
      </c>
      <c r="T1" s="12" t="s">
        <v>19</v>
      </c>
      <c r="U1" s="12" t="s">
        <v>20</v>
      </c>
      <c r="V1" s="12" t="s">
        <v>368</v>
      </c>
      <c r="W1" s="12" t="s">
        <v>369</v>
      </c>
      <c r="X1" s="12" t="s">
        <v>21</v>
      </c>
      <c r="Y1" s="12" t="s">
        <v>22</v>
      </c>
      <c r="Z1" s="10" t="s">
        <v>23</v>
      </c>
      <c r="AA1" s="12" t="s">
        <v>24</v>
      </c>
      <c r="AB1" s="17" t="s">
        <v>25</v>
      </c>
      <c r="AC1" s="17" t="s">
        <v>26</v>
      </c>
      <c r="AD1" s="18" t="s">
        <v>27</v>
      </c>
      <c r="AE1" s="18" t="s">
        <v>28</v>
      </c>
      <c r="AF1" s="18" t="s">
        <v>29</v>
      </c>
      <c r="AG1" s="17" t="s">
        <v>30</v>
      </c>
      <c r="AH1" s="18" t="s">
        <v>31</v>
      </c>
      <c r="AI1" s="18" t="s">
        <v>32</v>
      </c>
      <c r="AJ1" s="11" t="s">
        <v>33</v>
      </c>
      <c r="AK1" s="11" t="s">
        <v>34</v>
      </c>
      <c r="AL1" s="11" t="s">
        <v>18</v>
      </c>
      <c r="AM1" s="11" t="s">
        <v>35</v>
      </c>
      <c r="AN1" s="11" t="s">
        <v>36</v>
      </c>
    </row>
    <row r="2" spans="1:40" s="13" customFormat="1" ht="12" customHeight="1" x14ac:dyDescent="0.3">
      <c r="A2" s="8" t="s">
        <v>37</v>
      </c>
      <c r="B2" s="8" t="s">
        <v>38</v>
      </c>
      <c r="C2" s="8" t="s">
        <v>364</v>
      </c>
      <c r="D2" s="8" t="s">
        <v>39</v>
      </c>
      <c r="E2" s="8" t="s">
        <v>40</v>
      </c>
      <c r="F2" s="9">
        <v>178922</v>
      </c>
      <c r="G2" s="9">
        <v>1553642</v>
      </c>
      <c r="H2" s="9">
        <v>5019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43</v>
      </c>
      <c r="N2" s="8" t="s">
        <v>44</v>
      </c>
      <c r="O2" s="15">
        <v>297936</v>
      </c>
      <c r="P2" s="15">
        <v>297973</v>
      </c>
      <c r="Q2" s="15">
        <f t="shared" ref="Q2:Q65" si="0">P2-O2</f>
        <v>37</v>
      </c>
      <c r="R2" s="6">
        <v>100</v>
      </c>
      <c r="S2" s="2" t="str">
        <f t="shared" ref="S2:S65" si="1">IF(Q2-R2&lt;0,"0",Q2-R2)</f>
        <v>0</v>
      </c>
      <c r="T2" s="2">
        <v>0</v>
      </c>
      <c r="U2" s="3">
        <v>46161.3125</v>
      </c>
      <c r="V2" s="3">
        <v>46161.3125</v>
      </c>
      <c r="W2" s="3" t="b">
        <f>U2=V2</f>
        <v>1</v>
      </c>
      <c r="X2" s="3">
        <v>46161.4375</v>
      </c>
      <c r="Y2" s="4">
        <f t="shared" ref="Y2:Y33" si="2">X2-U2</f>
        <v>0.125</v>
      </c>
      <c r="Z2" s="7">
        <v>0.125</v>
      </c>
      <c r="AA2" s="4">
        <f t="shared" ref="AA2:AA65" si="3">IF(Y2-Z2&lt;0,"00:00:00",Y2-Z2)</f>
        <v>0</v>
      </c>
      <c r="AB2" s="19">
        <v>145</v>
      </c>
      <c r="AC2" s="19">
        <v>7.35</v>
      </c>
      <c r="AD2" s="20">
        <f t="shared" ref="AD2:AD65" si="4">AA2*AB2*24</f>
        <v>0</v>
      </c>
      <c r="AE2" s="20">
        <f t="shared" ref="AE2:AE33" si="5">S2*AC2</f>
        <v>0</v>
      </c>
      <c r="AF2" s="20">
        <f t="shared" ref="AF2:AF33" si="6">T2*AC2</f>
        <v>0</v>
      </c>
      <c r="AG2" s="19">
        <v>735</v>
      </c>
      <c r="AH2" s="20">
        <v>0</v>
      </c>
      <c r="AI2" s="20">
        <f t="shared" ref="AI2:AI65" si="7">SUM(AD2:AH2)</f>
        <v>735</v>
      </c>
      <c r="AJ2" s="1" t="s">
        <v>365</v>
      </c>
      <c r="AK2" s="1" t="s">
        <v>365</v>
      </c>
      <c r="AL2" s="1"/>
      <c r="AM2" s="1" t="s">
        <v>375</v>
      </c>
      <c r="AN2" s="1"/>
    </row>
    <row r="3" spans="1:40" s="13" customFormat="1" ht="12" customHeight="1" x14ac:dyDescent="0.3">
      <c r="A3" s="8" t="s">
        <v>37</v>
      </c>
      <c r="B3" s="8" t="s">
        <v>38</v>
      </c>
      <c r="C3" s="8" t="s">
        <v>364</v>
      </c>
      <c r="D3" s="8" t="s">
        <v>39</v>
      </c>
      <c r="E3" s="8" t="s">
        <v>45</v>
      </c>
      <c r="F3" s="9">
        <v>178954</v>
      </c>
      <c r="G3" s="9">
        <v>1553785.1553785</v>
      </c>
      <c r="H3" s="9">
        <v>5036</v>
      </c>
      <c r="I3" s="8" t="s">
        <v>46</v>
      </c>
      <c r="J3" s="8" t="s">
        <v>47</v>
      </c>
      <c r="K3" s="8" t="s">
        <v>48</v>
      </c>
      <c r="L3" s="8" t="s">
        <v>49</v>
      </c>
      <c r="M3" s="8" t="s">
        <v>48</v>
      </c>
      <c r="N3" s="8" t="s">
        <v>49</v>
      </c>
      <c r="O3" s="15">
        <v>5747</v>
      </c>
      <c r="P3" s="15">
        <v>5780</v>
      </c>
      <c r="Q3" s="15">
        <f t="shared" si="0"/>
        <v>33</v>
      </c>
      <c r="R3" s="6">
        <v>100</v>
      </c>
      <c r="S3" s="2" t="str">
        <f t="shared" si="1"/>
        <v>0</v>
      </c>
      <c r="T3" s="2">
        <v>0</v>
      </c>
      <c r="U3" s="3">
        <v>46161.291666666664</v>
      </c>
      <c r="V3" s="3">
        <v>46161.291666666664</v>
      </c>
      <c r="W3" s="3" t="b">
        <f>V3=U3</f>
        <v>1</v>
      </c>
      <c r="X3" s="3">
        <v>46161.579166666663</v>
      </c>
      <c r="Y3" s="4">
        <f t="shared" si="2"/>
        <v>0.28749999999854481</v>
      </c>
      <c r="Z3" s="7">
        <v>0.125</v>
      </c>
      <c r="AA3" s="4">
        <f t="shared" si="3"/>
        <v>0.16249999999854481</v>
      </c>
      <c r="AB3" s="19">
        <v>145</v>
      </c>
      <c r="AC3" s="19">
        <v>6.9</v>
      </c>
      <c r="AD3" s="20">
        <f t="shared" si="4"/>
        <v>565.49999999493593</v>
      </c>
      <c r="AE3" s="20">
        <f t="shared" si="5"/>
        <v>0</v>
      </c>
      <c r="AF3" s="20">
        <f t="shared" si="6"/>
        <v>0</v>
      </c>
      <c r="AG3" s="19">
        <v>690</v>
      </c>
      <c r="AH3" s="20">
        <v>0</v>
      </c>
      <c r="AI3" s="20">
        <f t="shared" si="7"/>
        <v>1255.4999999949359</v>
      </c>
      <c r="AJ3" s="1" t="s">
        <v>365</v>
      </c>
      <c r="AK3" s="1" t="s">
        <v>365</v>
      </c>
      <c r="AL3" s="1"/>
      <c r="AM3" s="1" t="s">
        <v>375</v>
      </c>
      <c r="AN3" s="1"/>
    </row>
    <row r="4" spans="1:40" s="13" customFormat="1" ht="12" customHeight="1" x14ac:dyDescent="0.3">
      <c r="A4" s="8" t="s">
        <v>37</v>
      </c>
      <c r="B4" s="8" t="s">
        <v>38</v>
      </c>
      <c r="C4" s="8" t="s">
        <v>364</v>
      </c>
      <c r="D4" s="8" t="s">
        <v>39</v>
      </c>
      <c r="E4" s="8" t="s">
        <v>50</v>
      </c>
      <c r="F4" s="9">
        <v>178955</v>
      </c>
      <c r="G4" s="9">
        <v>1553385</v>
      </c>
      <c r="H4" s="9">
        <v>5022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55</v>
      </c>
      <c r="N4" s="8" t="s">
        <v>42</v>
      </c>
      <c r="O4" s="15">
        <v>14337</v>
      </c>
      <c r="P4" s="15">
        <v>14390</v>
      </c>
      <c r="Q4" s="15">
        <f t="shared" si="0"/>
        <v>53</v>
      </c>
      <c r="R4" s="6">
        <v>100</v>
      </c>
      <c r="S4" s="2" t="str">
        <f t="shared" si="1"/>
        <v>0</v>
      </c>
      <c r="T4" s="2">
        <v>0</v>
      </c>
      <c r="U4" s="3">
        <v>46160.916666666664</v>
      </c>
      <c r="V4" s="3">
        <v>46160.930555555555</v>
      </c>
      <c r="W4" s="3" t="b">
        <f t="shared" ref="W4:W5" si="8">V4=U4</f>
        <v>0</v>
      </c>
      <c r="X4" s="3">
        <v>46161.041666666672</v>
      </c>
      <c r="Y4" s="4">
        <f t="shared" si="2"/>
        <v>0.12500000000727596</v>
      </c>
      <c r="Z4" s="7">
        <v>0.125</v>
      </c>
      <c r="AA4" s="4">
        <f t="shared" si="3"/>
        <v>7.2759576141834259E-12</v>
      </c>
      <c r="AB4" s="19">
        <v>145</v>
      </c>
      <c r="AC4" s="19">
        <v>6.9</v>
      </c>
      <c r="AD4" s="20">
        <f t="shared" si="4"/>
        <v>2.5320332497358322E-8</v>
      </c>
      <c r="AE4" s="20">
        <f t="shared" si="5"/>
        <v>0</v>
      </c>
      <c r="AF4" s="20">
        <f t="shared" si="6"/>
        <v>0</v>
      </c>
      <c r="AG4" s="19">
        <v>690</v>
      </c>
      <c r="AH4" s="20">
        <v>0</v>
      </c>
      <c r="AI4" s="20">
        <f t="shared" si="7"/>
        <v>690.00000002532033</v>
      </c>
      <c r="AJ4" s="1" t="s">
        <v>365</v>
      </c>
      <c r="AK4" s="1" t="s">
        <v>365</v>
      </c>
      <c r="AL4" s="1"/>
      <c r="AM4" s="1" t="s">
        <v>375</v>
      </c>
      <c r="AN4" s="1"/>
    </row>
    <row r="5" spans="1:40" s="13" customFormat="1" ht="12" customHeight="1" x14ac:dyDescent="0.3">
      <c r="A5" s="8" t="s">
        <v>37</v>
      </c>
      <c r="B5" s="8" t="s">
        <v>38</v>
      </c>
      <c r="C5" s="8" t="s">
        <v>364</v>
      </c>
      <c r="D5" s="8" t="s">
        <v>39</v>
      </c>
      <c r="E5" s="8" t="s">
        <v>45</v>
      </c>
      <c r="F5" s="9">
        <v>178961</v>
      </c>
      <c r="G5" s="9">
        <v>1554468</v>
      </c>
      <c r="H5" s="9">
        <v>5037</v>
      </c>
      <c r="I5" s="8" t="s">
        <v>56</v>
      </c>
      <c r="J5" s="8" t="s">
        <v>57</v>
      </c>
      <c r="K5" s="8" t="s">
        <v>48</v>
      </c>
      <c r="L5" s="8" t="s">
        <v>49</v>
      </c>
      <c r="M5" s="8" t="s">
        <v>48</v>
      </c>
      <c r="N5" s="8" t="s">
        <v>49</v>
      </c>
      <c r="O5" s="15">
        <v>6101</v>
      </c>
      <c r="P5" s="15">
        <v>6137</v>
      </c>
      <c r="Q5" s="15">
        <f t="shared" si="0"/>
        <v>36</v>
      </c>
      <c r="R5" s="6">
        <v>100</v>
      </c>
      <c r="S5" s="2" t="str">
        <f t="shared" si="1"/>
        <v>0</v>
      </c>
      <c r="T5" s="2">
        <v>0</v>
      </c>
      <c r="U5" s="3">
        <v>46161.375</v>
      </c>
      <c r="V5" s="3">
        <v>46161.375</v>
      </c>
      <c r="W5" s="3" t="b">
        <f t="shared" si="8"/>
        <v>1</v>
      </c>
      <c r="X5" s="3">
        <v>46161.584027777775</v>
      </c>
      <c r="Y5" s="4">
        <f t="shared" si="2"/>
        <v>0.20902777777519077</v>
      </c>
      <c r="Z5" s="7">
        <v>0.125</v>
      </c>
      <c r="AA5" s="4">
        <f t="shared" si="3"/>
        <v>8.4027777775190771E-2</v>
      </c>
      <c r="AB5" s="19">
        <v>145</v>
      </c>
      <c r="AC5" s="19">
        <v>6.9</v>
      </c>
      <c r="AD5" s="20">
        <f t="shared" si="4"/>
        <v>292.41666665766388</v>
      </c>
      <c r="AE5" s="20">
        <f t="shared" si="5"/>
        <v>0</v>
      </c>
      <c r="AF5" s="20">
        <f t="shared" si="6"/>
        <v>0</v>
      </c>
      <c r="AG5" s="19">
        <v>690</v>
      </c>
      <c r="AH5" s="20">
        <v>0</v>
      </c>
      <c r="AI5" s="20">
        <f t="shared" si="7"/>
        <v>982.41666665766388</v>
      </c>
      <c r="AJ5" s="1" t="s">
        <v>365</v>
      </c>
      <c r="AK5" s="1" t="s">
        <v>365</v>
      </c>
      <c r="AL5" s="1"/>
      <c r="AM5" s="1" t="s">
        <v>375</v>
      </c>
      <c r="AN5" s="1"/>
    </row>
    <row r="6" spans="1:40" s="13" customFormat="1" ht="12" customHeight="1" x14ac:dyDescent="0.3">
      <c r="A6" s="8" t="s">
        <v>37</v>
      </c>
      <c r="B6" s="8" t="s">
        <v>38</v>
      </c>
      <c r="C6" s="8" t="s">
        <v>364</v>
      </c>
      <c r="D6" s="8" t="s">
        <v>58</v>
      </c>
      <c r="E6" s="8" t="s">
        <v>50</v>
      </c>
      <c r="F6" s="9">
        <v>178962</v>
      </c>
      <c r="G6" s="9">
        <v>1553222</v>
      </c>
      <c r="H6" s="9">
        <v>5023</v>
      </c>
      <c r="I6" s="8" t="s">
        <v>42</v>
      </c>
      <c r="J6" s="8" t="s">
        <v>42</v>
      </c>
      <c r="K6" s="8" t="s">
        <v>59</v>
      </c>
      <c r="L6" s="8" t="s">
        <v>54</v>
      </c>
      <c r="M6" s="8" t="s">
        <v>59</v>
      </c>
      <c r="N6" s="8" t="s">
        <v>54</v>
      </c>
      <c r="O6" s="15">
        <v>0</v>
      </c>
      <c r="P6" s="15">
        <v>0</v>
      </c>
      <c r="Q6" s="15">
        <f t="shared" si="0"/>
        <v>0</v>
      </c>
      <c r="R6" s="6">
        <v>100</v>
      </c>
      <c r="S6" s="2" t="str">
        <f t="shared" si="1"/>
        <v>0</v>
      </c>
      <c r="T6" s="2">
        <v>0</v>
      </c>
      <c r="U6" s="3">
        <v>46161.041666666664</v>
      </c>
      <c r="V6" s="3">
        <v>46161.041666666664</v>
      </c>
      <c r="W6" s="3" t="b">
        <f>U6=V6</f>
        <v>1</v>
      </c>
      <c r="X6" s="3">
        <v>46161.166666666672</v>
      </c>
      <c r="Y6" s="4">
        <f t="shared" si="2"/>
        <v>0.12500000000727596</v>
      </c>
      <c r="Z6" s="7">
        <v>0.125</v>
      </c>
      <c r="AA6" s="4">
        <f t="shared" si="3"/>
        <v>7.2759576141834259E-12</v>
      </c>
      <c r="AB6" s="19">
        <v>145</v>
      </c>
      <c r="AC6" s="19">
        <v>6.9</v>
      </c>
      <c r="AD6" s="20">
        <f t="shared" si="4"/>
        <v>2.5320332497358322E-8</v>
      </c>
      <c r="AE6" s="20">
        <f t="shared" si="5"/>
        <v>0</v>
      </c>
      <c r="AF6" s="20">
        <f t="shared" si="6"/>
        <v>0</v>
      </c>
      <c r="AG6" s="19">
        <v>690</v>
      </c>
      <c r="AH6" s="20">
        <v>0</v>
      </c>
      <c r="AI6" s="20">
        <f t="shared" si="7"/>
        <v>690.00000002532033</v>
      </c>
      <c r="AJ6" s="1" t="s">
        <v>58</v>
      </c>
      <c r="AK6" s="1"/>
      <c r="AL6" s="1"/>
      <c r="AM6" s="1" t="s">
        <v>365</v>
      </c>
      <c r="AN6" s="1"/>
    </row>
    <row r="7" spans="1:40" s="13" customFormat="1" ht="12" customHeight="1" x14ac:dyDescent="0.3">
      <c r="A7" s="8" t="s">
        <v>37</v>
      </c>
      <c r="B7" s="8" t="s">
        <v>38</v>
      </c>
      <c r="C7" s="8" t="s">
        <v>364</v>
      </c>
      <c r="D7" s="8" t="s">
        <v>39</v>
      </c>
      <c r="E7" s="8" t="s">
        <v>60</v>
      </c>
      <c r="F7" s="9">
        <v>178974</v>
      </c>
      <c r="G7" s="9">
        <v>1554004</v>
      </c>
      <c r="H7" s="9">
        <v>5038</v>
      </c>
      <c r="I7" s="8" t="s">
        <v>61</v>
      </c>
      <c r="J7" s="8" t="s">
        <v>62</v>
      </c>
      <c r="K7" s="8" t="s">
        <v>63</v>
      </c>
      <c r="L7" s="8" t="s">
        <v>64</v>
      </c>
      <c r="M7" s="8" t="s">
        <v>65</v>
      </c>
      <c r="N7" s="8" t="s">
        <v>64</v>
      </c>
      <c r="O7" s="15">
        <v>161668</v>
      </c>
      <c r="P7" s="15">
        <v>161671</v>
      </c>
      <c r="Q7" s="15">
        <f t="shared" si="0"/>
        <v>3</v>
      </c>
      <c r="R7" s="6">
        <v>100</v>
      </c>
      <c r="S7" s="2" t="str">
        <f t="shared" si="1"/>
        <v>0</v>
      </c>
      <c r="T7" s="2">
        <v>0</v>
      </c>
      <c r="U7" s="3">
        <v>46161.270833333336</v>
      </c>
      <c r="V7" s="3">
        <v>46161.270833333336</v>
      </c>
      <c r="W7" s="3" t="b">
        <f t="shared" ref="W7:W8" si="9">V7=U7</f>
        <v>1</v>
      </c>
      <c r="X7" s="3">
        <v>46161.395833333328</v>
      </c>
      <c r="Y7" s="4">
        <f t="shared" si="2"/>
        <v>0.12499999999272404</v>
      </c>
      <c r="Z7" s="7">
        <v>0.125</v>
      </c>
      <c r="AA7" s="4" t="str">
        <f t="shared" si="3"/>
        <v>00:00:00</v>
      </c>
      <c r="AB7" s="19">
        <v>145</v>
      </c>
      <c r="AC7" s="19">
        <v>6.9</v>
      </c>
      <c r="AD7" s="20">
        <f t="shared" si="4"/>
        <v>0</v>
      </c>
      <c r="AE7" s="20">
        <f t="shared" si="5"/>
        <v>0</v>
      </c>
      <c r="AF7" s="20">
        <f t="shared" si="6"/>
        <v>0</v>
      </c>
      <c r="AG7" s="19">
        <v>690</v>
      </c>
      <c r="AH7" s="20">
        <v>0</v>
      </c>
      <c r="AI7" s="20">
        <f t="shared" si="7"/>
        <v>690</v>
      </c>
      <c r="AJ7" s="1" t="s">
        <v>365</v>
      </c>
      <c r="AK7" s="1" t="s">
        <v>365</v>
      </c>
      <c r="AL7" s="1"/>
      <c r="AM7" s="1" t="s">
        <v>375</v>
      </c>
      <c r="AN7" s="1"/>
    </row>
    <row r="8" spans="1:40" s="13" customFormat="1" ht="12" customHeight="1" x14ac:dyDescent="0.3">
      <c r="A8" s="8" t="s">
        <v>37</v>
      </c>
      <c r="B8" s="8" t="s">
        <v>38</v>
      </c>
      <c r="C8" s="8" t="s">
        <v>364</v>
      </c>
      <c r="D8" s="8" t="s">
        <v>39</v>
      </c>
      <c r="E8" s="8" t="s">
        <v>66</v>
      </c>
      <c r="F8" s="9">
        <v>178976</v>
      </c>
      <c r="G8" s="8" t="s">
        <v>67</v>
      </c>
      <c r="H8" s="9">
        <v>5024</v>
      </c>
      <c r="I8" s="8" t="s">
        <v>68</v>
      </c>
      <c r="J8" s="8" t="s">
        <v>69</v>
      </c>
      <c r="K8" s="8" t="s">
        <v>70</v>
      </c>
      <c r="L8" s="8" t="s">
        <v>71</v>
      </c>
      <c r="M8" s="8" t="s">
        <v>72</v>
      </c>
      <c r="N8" s="8" t="s">
        <v>42</v>
      </c>
      <c r="O8" s="15">
        <v>241818</v>
      </c>
      <c r="P8" s="15">
        <v>241859</v>
      </c>
      <c r="Q8" s="15">
        <f t="shared" si="0"/>
        <v>41</v>
      </c>
      <c r="R8" s="6">
        <v>100</v>
      </c>
      <c r="S8" s="2" t="str">
        <f t="shared" si="1"/>
        <v>0</v>
      </c>
      <c r="T8" s="2">
        <v>0</v>
      </c>
      <c r="U8" s="3">
        <v>46161.3125</v>
      </c>
      <c r="V8" s="3">
        <v>46161.3125</v>
      </c>
      <c r="W8" s="3" t="b">
        <f t="shared" si="9"/>
        <v>1</v>
      </c>
      <c r="X8" s="3">
        <v>46161.4375</v>
      </c>
      <c r="Y8" s="4">
        <f t="shared" si="2"/>
        <v>0.125</v>
      </c>
      <c r="Z8" s="7">
        <v>0.125</v>
      </c>
      <c r="AA8" s="4">
        <f t="shared" si="3"/>
        <v>0</v>
      </c>
      <c r="AB8" s="19">
        <v>145</v>
      </c>
      <c r="AC8" s="19">
        <v>6.9</v>
      </c>
      <c r="AD8" s="20">
        <f t="shared" si="4"/>
        <v>0</v>
      </c>
      <c r="AE8" s="20">
        <f t="shared" si="5"/>
        <v>0</v>
      </c>
      <c r="AF8" s="20">
        <f t="shared" si="6"/>
        <v>0</v>
      </c>
      <c r="AG8" s="19">
        <v>690</v>
      </c>
      <c r="AH8" s="20">
        <v>0</v>
      </c>
      <c r="AI8" s="20">
        <f t="shared" si="7"/>
        <v>690</v>
      </c>
      <c r="AJ8" s="1" t="s">
        <v>365</v>
      </c>
      <c r="AK8" s="1" t="s">
        <v>365</v>
      </c>
      <c r="AL8" s="1"/>
      <c r="AM8" s="1" t="s">
        <v>375</v>
      </c>
      <c r="AN8" s="1"/>
    </row>
    <row r="9" spans="1:40" s="13" customFormat="1" ht="12" customHeight="1" x14ac:dyDescent="0.3">
      <c r="A9" s="8" t="s">
        <v>37</v>
      </c>
      <c r="B9" s="8" t="s">
        <v>38</v>
      </c>
      <c r="C9" s="8" t="s">
        <v>364</v>
      </c>
      <c r="D9" s="8" t="s">
        <v>39</v>
      </c>
      <c r="E9" s="8" t="s">
        <v>73</v>
      </c>
      <c r="F9" s="9">
        <v>178983</v>
      </c>
      <c r="G9" s="9">
        <v>1554130</v>
      </c>
      <c r="H9" s="9">
        <v>5030</v>
      </c>
      <c r="I9" s="8" t="s">
        <v>74</v>
      </c>
      <c r="J9" s="8" t="s">
        <v>75</v>
      </c>
      <c r="K9" s="8" t="s">
        <v>76</v>
      </c>
      <c r="L9" s="8" t="s">
        <v>77</v>
      </c>
      <c r="M9" s="8" t="s">
        <v>78</v>
      </c>
      <c r="N9" s="8" t="s">
        <v>77</v>
      </c>
      <c r="O9" s="15">
        <v>183495</v>
      </c>
      <c r="P9" s="15">
        <v>183533</v>
      </c>
      <c r="Q9" s="15">
        <f t="shared" si="0"/>
        <v>38</v>
      </c>
      <c r="R9" s="6">
        <v>100</v>
      </c>
      <c r="S9" s="2" t="str">
        <f t="shared" si="1"/>
        <v>0</v>
      </c>
      <c r="T9" s="2">
        <v>0</v>
      </c>
      <c r="U9" s="3">
        <v>46161.270833333336</v>
      </c>
      <c r="V9" s="3">
        <v>46161.270833333336</v>
      </c>
      <c r="W9" s="3" t="b">
        <f>U9=V9</f>
        <v>1</v>
      </c>
      <c r="X9" s="3">
        <v>46161.419444444444</v>
      </c>
      <c r="Y9" s="4">
        <f t="shared" si="2"/>
        <v>0.14861111110803904</v>
      </c>
      <c r="Z9" s="7">
        <v>0.125</v>
      </c>
      <c r="AA9" s="4">
        <f t="shared" si="3"/>
        <v>2.361111110803904E-2</v>
      </c>
      <c r="AB9" s="19">
        <v>145</v>
      </c>
      <c r="AC9" s="19">
        <v>7.35</v>
      </c>
      <c r="AD9" s="20">
        <f t="shared" si="4"/>
        <v>82.16666665597586</v>
      </c>
      <c r="AE9" s="20">
        <f t="shared" si="5"/>
        <v>0</v>
      </c>
      <c r="AF9" s="20">
        <f t="shared" si="6"/>
        <v>0</v>
      </c>
      <c r="AG9" s="19">
        <v>735</v>
      </c>
      <c r="AH9" s="20">
        <v>0</v>
      </c>
      <c r="AI9" s="20">
        <f t="shared" si="7"/>
        <v>817.16666665597586</v>
      </c>
      <c r="AJ9" s="1" t="s">
        <v>365</v>
      </c>
      <c r="AK9" s="1" t="s">
        <v>365</v>
      </c>
      <c r="AL9" s="1"/>
      <c r="AM9" s="1" t="s">
        <v>375</v>
      </c>
      <c r="AN9" s="1"/>
    </row>
    <row r="10" spans="1:40" s="13" customFormat="1" ht="12" customHeight="1" x14ac:dyDescent="0.3">
      <c r="A10" s="8" t="s">
        <v>37</v>
      </c>
      <c r="B10" s="8" t="s">
        <v>38</v>
      </c>
      <c r="C10" s="8" t="s">
        <v>364</v>
      </c>
      <c r="D10" s="8" t="s">
        <v>39</v>
      </c>
      <c r="E10" s="8" t="s">
        <v>50</v>
      </c>
      <c r="F10" s="9">
        <v>178991</v>
      </c>
      <c r="G10" s="9">
        <v>1555337</v>
      </c>
      <c r="H10" s="9">
        <v>5040</v>
      </c>
      <c r="I10" s="8" t="s">
        <v>79</v>
      </c>
      <c r="J10" s="8" t="s">
        <v>80</v>
      </c>
      <c r="K10" s="8" t="s">
        <v>81</v>
      </c>
      <c r="L10" s="8" t="s">
        <v>54</v>
      </c>
      <c r="M10" s="8" t="s">
        <v>82</v>
      </c>
      <c r="N10" s="8" t="s">
        <v>54</v>
      </c>
      <c r="O10" s="15">
        <v>131753</v>
      </c>
      <c r="P10" s="15">
        <v>131769</v>
      </c>
      <c r="Q10" s="15">
        <f t="shared" si="0"/>
        <v>16</v>
      </c>
      <c r="R10" s="6">
        <v>100</v>
      </c>
      <c r="S10" s="2" t="str">
        <f t="shared" si="1"/>
        <v>0</v>
      </c>
      <c r="T10" s="2">
        <v>0</v>
      </c>
      <c r="U10" s="3">
        <v>46161.875</v>
      </c>
      <c r="V10" s="3">
        <v>46161.875</v>
      </c>
      <c r="W10" s="3" t="b">
        <f>V10=U10</f>
        <v>1</v>
      </c>
      <c r="X10" s="3">
        <v>46162.088194444441</v>
      </c>
      <c r="Y10" s="4">
        <f t="shared" si="2"/>
        <v>0.21319444444088731</v>
      </c>
      <c r="Z10" s="7">
        <v>0.125</v>
      </c>
      <c r="AA10" s="4">
        <f t="shared" si="3"/>
        <v>8.819444444088731E-2</v>
      </c>
      <c r="AB10" s="19">
        <v>145</v>
      </c>
      <c r="AC10" s="19">
        <v>6.9</v>
      </c>
      <c r="AD10" s="20">
        <f t="shared" si="4"/>
        <v>306.91666665428784</v>
      </c>
      <c r="AE10" s="20">
        <f t="shared" si="5"/>
        <v>0</v>
      </c>
      <c r="AF10" s="20">
        <f t="shared" si="6"/>
        <v>0</v>
      </c>
      <c r="AG10" s="19">
        <v>689.99999999999989</v>
      </c>
      <c r="AH10" s="20">
        <v>5.9</v>
      </c>
      <c r="AI10" s="20">
        <f t="shared" si="7"/>
        <v>1002.8166666542877</v>
      </c>
      <c r="AJ10" s="1" t="s">
        <v>365</v>
      </c>
      <c r="AK10" s="1" t="s">
        <v>365</v>
      </c>
      <c r="AL10" s="1"/>
      <c r="AM10" s="1" t="s">
        <v>375</v>
      </c>
      <c r="AN10" s="1"/>
    </row>
    <row r="11" spans="1:40" s="13" customFormat="1" ht="12" customHeight="1" x14ac:dyDescent="0.3">
      <c r="A11" s="8" t="s">
        <v>37</v>
      </c>
      <c r="B11" s="8" t="s">
        <v>38</v>
      </c>
      <c r="C11" s="8" t="s">
        <v>364</v>
      </c>
      <c r="D11" s="8" t="s">
        <v>83</v>
      </c>
      <c r="E11" s="8" t="s">
        <v>84</v>
      </c>
      <c r="F11" s="9">
        <v>178992</v>
      </c>
      <c r="G11" s="8" t="s">
        <v>42</v>
      </c>
      <c r="H11" s="9">
        <v>5039</v>
      </c>
      <c r="I11" s="8" t="s">
        <v>42</v>
      </c>
      <c r="J11" s="8" t="s">
        <v>42</v>
      </c>
      <c r="K11" s="8" t="s">
        <v>85</v>
      </c>
      <c r="L11" s="8" t="s">
        <v>86</v>
      </c>
      <c r="M11" s="8" t="s">
        <v>72</v>
      </c>
      <c r="N11" s="8" t="s">
        <v>42</v>
      </c>
      <c r="O11" s="15">
        <v>0</v>
      </c>
      <c r="P11" s="15">
        <v>0</v>
      </c>
      <c r="Q11" s="15">
        <f t="shared" si="0"/>
        <v>0</v>
      </c>
      <c r="R11" s="6">
        <v>100</v>
      </c>
      <c r="S11" s="2" t="str">
        <f t="shared" si="1"/>
        <v>0</v>
      </c>
      <c r="T11" s="2">
        <v>0</v>
      </c>
      <c r="U11" s="3">
        <v>46161.375</v>
      </c>
      <c r="V11" s="3">
        <v>46161.375</v>
      </c>
      <c r="W11" s="3" t="b">
        <f>U11=V11</f>
        <v>1</v>
      </c>
      <c r="X11" s="3">
        <v>46161.5</v>
      </c>
      <c r="Y11" s="4">
        <f t="shared" si="2"/>
        <v>0.125</v>
      </c>
      <c r="Z11" s="7">
        <v>0.125</v>
      </c>
      <c r="AA11" s="4">
        <f t="shared" si="3"/>
        <v>0</v>
      </c>
      <c r="AB11" s="19">
        <v>145</v>
      </c>
      <c r="AC11" s="19">
        <v>6.9</v>
      </c>
      <c r="AD11" s="20">
        <f t="shared" si="4"/>
        <v>0</v>
      </c>
      <c r="AE11" s="20">
        <f t="shared" si="5"/>
        <v>0</v>
      </c>
      <c r="AF11" s="20">
        <f t="shared" si="6"/>
        <v>0</v>
      </c>
      <c r="AG11" s="19">
        <v>690</v>
      </c>
      <c r="AH11" s="20">
        <v>0</v>
      </c>
      <c r="AI11" s="20">
        <f t="shared" si="7"/>
        <v>690</v>
      </c>
      <c r="AJ11" s="1" t="s">
        <v>58</v>
      </c>
      <c r="AK11" s="1"/>
      <c r="AL11" s="1"/>
      <c r="AM11" s="1" t="s">
        <v>365</v>
      </c>
      <c r="AN11" s="1"/>
    </row>
    <row r="12" spans="1:40" s="13" customFormat="1" ht="12" customHeight="1" x14ac:dyDescent="0.3">
      <c r="A12" s="8" t="s">
        <v>37</v>
      </c>
      <c r="B12" s="8" t="s">
        <v>38</v>
      </c>
      <c r="C12" s="8" t="s">
        <v>364</v>
      </c>
      <c r="D12" s="8" t="s">
        <v>39</v>
      </c>
      <c r="E12" s="8" t="s">
        <v>87</v>
      </c>
      <c r="F12" s="9">
        <v>178994</v>
      </c>
      <c r="G12" s="9">
        <v>1552245</v>
      </c>
      <c r="H12" s="9">
        <v>5043</v>
      </c>
      <c r="I12" s="8" t="s">
        <v>88</v>
      </c>
      <c r="J12" s="8" t="s">
        <v>89</v>
      </c>
      <c r="K12" s="8" t="s">
        <v>90</v>
      </c>
      <c r="L12" s="8" t="s">
        <v>54</v>
      </c>
      <c r="M12" s="8" t="s">
        <v>91</v>
      </c>
      <c r="N12" s="8" t="s">
        <v>54</v>
      </c>
      <c r="O12" s="15">
        <v>20645</v>
      </c>
      <c r="P12" s="15">
        <v>20707</v>
      </c>
      <c r="Q12" s="15">
        <f t="shared" si="0"/>
        <v>62</v>
      </c>
      <c r="R12" s="6">
        <v>100</v>
      </c>
      <c r="S12" s="2" t="str">
        <f t="shared" si="1"/>
        <v>0</v>
      </c>
      <c r="T12" s="2">
        <v>0</v>
      </c>
      <c r="U12" s="3">
        <v>46161.395833333336</v>
      </c>
      <c r="V12" s="3">
        <v>46161.395833333336</v>
      </c>
      <c r="W12" s="3" t="b">
        <f t="shared" ref="W12:W16" si="10">V12=U12</f>
        <v>1</v>
      </c>
      <c r="X12" s="3">
        <v>46161.520833333328</v>
      </c>
      <c r="Y12" s="4">
        <f t="shared" si="2"/>
        <v>0.12499999999272404</v>
      </c>
      <c r="Z12" s="7">
        <v>0.125</v>
      </c>
      <c r="AA12" s="4" t="str">
        <f t="shared" si="3"/>
        <v>00:00:00</v>
      </c>
      <c r="AB12" s="19">
        <v>145</v>
      </c>
      <c r="AC12" s="19">
        <v>6.9</v>
      </c>
      <c r="AD12" s="20">
        <f t="shared" si="4"/>
        <v>0</v>
      </c>
      <c r="AE12" s="20">
        <f t="shared" si="5"/>
        <v>0</v>
      </c>
      <c r="AF12" s="20">
        <f t="shared" si="6"/>
        <v>0</v>
      </c>
      <c r="AG12" s="19">
        <v>690</v>
      </c>
      <c r="AH12" s="20">
        <v>0</v>
      </c>
      <c r="AI12" s="20">
        <f t="shared" si="7"/>
        <v>690</v>
      </c>
      <c r="AJ12" s="1" t="s">
        <v>365</v>
      </c>
      <c r="AK12" s="1" t="s">
        <v>365</v>
      </c>
      <c r="AL12" s="1"/>
      <c r="AM12" s="1" t="s">
        <v>375</v>
      </c>
      <c r="AN12" s="1"/>
    </row>
    <row r="13" spans="1:40" s="13" customFormat="1" ht="12" customHeight="1" x14ac:dyDescent="0.3">
      <c r="A13" s="8" t="s">
        <v>37</v>
      </c>
      <c r="B13" s="8" t="s">
        <v>38</v>
      </c>
      <c r="C13" s="8" t="s">
        <v>364</v>
      </c>
      <c r="D13" s="8" t="s">
        <v>39</v>
      </c>
      <c r="E13" s="8" t="s">
        <v>87</v>
      </c>
      <c r="F13" s="9">
        <v>178995</v>
      </c>
      <c r="G13" s="9">
        <v>1552245</v>
      </c>
      <c r="H13" s="9">
        <v>5042</v>
      </c>
      <c r="I13" s="8" t="s">
        <v>92</v>
      </c>
      <c r="J13" s="8" t="s">
        <v>89</v>
      </c>
      <c r="K13" s="8" t="s">
        <v>90</v>
      </c>
      <c r="L13" s="8" t="s">
        <v>54</v>
      </c>
      <c r="M13" s="8" t="s">
        <v>91</v>
      </c>
      <c r="N13" s="8" t="s">
        <v>54</v>
      </c>
      <c r="O13" s="15">
        <v>124526</v>
      </c>
      <c r="P13" s="15">
        <v>124585</v>
      </c>
      <c r="Q13" s="15">
        <f t="shared" si="0"/>
        <v>59</v>
      </c>
      <c r="R13" s="6">
        <v>100</v>
      </c>
      <c r="S13" s="2" t="str">
        <f t="shared" si="1"/>
        <v>0</v>
      </c>
      <c r="T13" s="2">
        <v>0</v>
      </c>
      <c r="U13" s="3">
        <v>46161.395833333336</v>
      </c>
      <c r="V13" s="3">
        <v>46161.395833333336</v>
      </c>
      <c r="W13" s="3" t="b">
        <f t="shared" si="10"/>
        <v>1</v>
      </c>
      <c r="X13" s="3">
        <v>46161.520833333328</v>
      </c>
      <c r="Y13" s="4">
        <f t="shared" si="2"/>
        <v>0.12499999999272404</v>
      </c>
      <c r="Z13" s="7">
        <v>0.125</v>
      </c>
      <c r="AA13" s="4" t="str">
        <f t="shared" si="3"/>
        <v>00:00:00</v>
      </c>
      <c r="AB13" s="19">
        <v>145</v>
      </c>
      <c r="AC13" s="19">
        <v>6.9</v>
      </c>
      <c r="AD13" s="20">
        <f t="shared" si="4"/>
        <v>0</v>
      </c>
      <c r="AE13" s="20">
        <f t="shared" si="5"/>
        <v>0</v>
      </c>
      <c r="AF13" s="20">
        <f t="shared" si="6"/>
        <v>0</v>
      </c>
      <c r="AG13" s="19">
        <v>690</v>
      </c>
      <c r="AH13" s="20">
        <v>5.6</v>
      </c>
      <c r="AI13" s="20">
        <f t="shared" si="7"/>
        <v>695.6</v>
      </c>
      <c r="AJ13" s="1" t="s">
        <v>365</v>
      </c>
      <c r="AK13" s="1" t="s">
        <v>365</v>
      </c>
      <c r="AL13" s="1"/>
      <c r="AM13" s="1" t="s">
        <v>375</v>
      </c>
      <c r="AN13" s="1"/>
    </row>
    <row r="14" spans="1:40" s="13" customFormat="1" ht="12" customHeight="1" x14ac:dyDescent="0.3">
      <c r="A14" s="8" t="s">
        <v>37</v>
      </c>
      <c r="B14" s="8" t="s">
        <v>38</v>
      </c>
      <c r="C14" s="8" t="s">
        <v>364</v>
      </c>
      <c r="D14" s="8" t="s">
        <v>39</v>
      </c>
      <c r="E14" s="8" t="s">
        <v>87</v>
      </c>
      <c r="F14" s="9">
        <v>178996</v>
      </c>
      <c r="G14" s="9">
        <v>1552245</v>
      </c>
      <c r="H14" s="9">
        <v>5041</v>
      </c>
      <c r="I14" s="8" t="s">
        <v>93</v>
      </c>
      <c r="J14" s="8" t="s">
        <v>89</v>
      </c>
      <c r="K14" s="8" t="s">
        <v>90</v>
      </c>
      <c r="L14" s="8" t="s">
        <v>54</v>
      </c>
      <c r="M14" s="8" t="s">
        <v>91</v>
      </c>
      <c r="N14" s="8" t="s">
        <v>54</v>
      </c>
      <c r="O14" s="15">
        <v>97761</v>
      </c>
      <c r="P14" s="15">
        <v>97821</v>
      </c>
      <c r="Q14" s="15">
        <f t="shared" si="0"/>
        <v>60</v>
      </c>
      <c r="R14" s="6">
        <v>100</v>
      </c>
      <c r="S14" s="2" t="str">
        <f t="shared" si="1"/>
        <v>0</v>
      </c>
      <c r="T14" s="2">
        <v>0</v>
      </c>
      <c r="U14" s="3">
        <v>46161.395833333336</v>
      </c>
      <c r="V14" s="3">
        <v>46161.395833333336</v>
      </c>
      <c r="W14" s="3" t="b">
        <f t="shared" si="10"/>
        <v>1</v>
      </c>
      <c r="X14" s="3">
        <v>46161.520833333328</v>
      </c>
      <c r="Y14" s="4">
        <f t="shared" si="2"/>
        <v>0.12499999999272404</v>
      </c>
      <c r="Z14" s="7">
        <v>0.125</v>
      </c>
      <c r="AA14" s="4" t="str">
        <f t="shared" si="3"/>
        <v>00:00:00</v>
      </c>
      <c r="AB14" s="19">
        <v>145</v>
      </c>
      <c r="AC14" s="19">
        <v>6.9</v>
      </c>
      <c r="AD14" s="20">
        <f t="shared" si="4"/>
        <v>0</v>
      </c>
      <c r="AE14" s="20">
        <f t="shared" si="5"/>
        <v>0</v>
      </c>
      <c r="AF14" s="20">
        <f t="shared" si="6"/>
        <v>0</v>
      </c>
      <c r="AG14" s="19">
        <v>690</v>
      </c>
      <c r="AH14" s="20">
        <v>5.6</v>
      </c>
      <c r="AI14" s="20">
        <f t="shared" si="7"/>
        <v>695.6</v>
      </c>
      <c r="AJ14" s="1" t="s">
        <v>365</v>
      </c>
      <c r="AK14" s="1" t="s">
        <v>365</v>
      </c>
      <c r="AL14" s="1"/>
      <c r="AM14" s="1" t="s">
        <v>375</v>
      </c>
      <c r="AN14" s="1"/>
    </row>
    <row r="15" spans="1:40" s="13" customFormat="1" ht="12" customHeight="1" x14ac:dyDescent="0.3">
      <c r="A15" s="8" t="s">
        <v>37</v>
      </c>
      <c r="B15" s="8" t="s">
        <v>38</v>
      </c>
      <c r="C15" s="8" t="s">
        <v>364</v>
      </c>
      <c r="D15" s="8" t="s">
        <v>39</v>
      </c>
      <c r="E15" s="8" t="s">
        <v>87</v>
      </c>
      <c r="F15" s="9">
        <v>178997</v>
      </c>
      <c r="G15" s="9">
        <v>1554830</v>
      </c>
      <c r="H15" s="9">
        <v>5045</v>
      </c>
      <c r="I15" s="8" t="s">
        <v>94</v>
      </c>
      <c r="J15" s="8" t="s">
        <v>95</v>
      </c>
      <c r="K15" s="8" t="s">
        <v>81</v>
      </c>
      <c r="L15" s="8" t="s">
        <v>54</v>
      </c>
      <c r="M15" s="8" t="s">
        <v>96</v>
      </c>
      <c r="N15" s="8" t="s">
        <v>54</v>
      </c>
      <c r="O15" s="15">
        <v>29581</v>
      </c>
      <c r="P15" s="15">
        <v>29665</v>
      </c>
      <c r="Q15" s="15">
        <f t="shared" si="0"/>
        <v>84</v>
      </c>
      <c r="R15" s="6">
        <v>100</v>
      </c>
      <c r="S15" s="2" t="str">
        <f t="shared" si="1"/>
        <v>0</v>
      </c>
      <c r="T15" s="2">
        <v>0</v>
      </c>
      <c r="U15" s="3">
        <v>46161.5</v>
      </c>
      <c r="V15" s="3">
        <v>46161.5</v>
      </c>
      <c r="W15" s="3" t="b">
        <f t="shared" si="10"/>
        <v>1</v>
      </c>
      <c r="X15" s="3">
        <v>46161.5</v>
      </c>
      <c r="Y15" s="4">
        <f t="shared" si="2"/>
        <v>0</v>
      </c>
      <c r="Z15" s="7">
        <v>0</v>
      </c>
      <c r="AA15" s="4">
        <f t="shared" si="3"/>
        <v>0</v>
      </c>
      <c r="AB15" s="19">
        <v>0</v>
      </c>
      <c r="AC15" s="19">
        <v>0</v>
      </c>
      <c r="AD15" s="20">
        <f t="shared" si="4"/>
        <v>0</v>
      </c>
      <c r="AE15" s="20">
        <f t="shared" si="5"/>
        <v>0</v>
      </c>
      <c r="AF15" s="20">
        <f t="shared" si="6"/>
        <v>0</v>
      </c>
      <c r="AG15" s="19">
        <v>690</v>
      </c>
      <c r="AH15" s="20">
        <v>5.9</v>
      </c>
      <c r="AI15" s="20">
        <f t="shared" si="7"/>
        <v>695.9</v>
      </c>
      <c r="AJ15" s="1" t="s">
        <v>365</v>
      </c>
      <c r="AK15" s="1" t="s">
        <v>365</v>
      </c>
      <c r="AL15" s="1"/>
      <c r="AM15" s="1" t="s">
        <v>375</v>
      </c>
      <c r="AN15" s="1"/>
    </row>
    <row r="16" spans="1:40" s="13" customFormat="1" ht="12" customHeight="1" x14ac:dyDescent="0.3">
      <c r="A16" s="8" t="s">
        <v>37</v>
      </c>
      <c r="B16" s="8" t="s">
        <v>38</v>
      </c>
      <c r="C16" s="8" t="s">
        <v>364</v>
      </c>
      <c r="D16" s="8" t="s">
        <v>39</v>
      </c>
      <c r="E16" s="8" t="s">
        <v>87</v>
      </c>
      <c r="F16" s="9">
        <v>178999</v>
      </c>
      <c r="G16" s="9">
        <v>1554722.1554721999</v>
      </c>
      <c r="H16" s="9">
        <v>5044</v>
      </c>
      <c r="I16" s="8" t="s">
        <v>97</v>
      </c>
      <c r="J16" s="8" t="s">
        <v>98</v>
      </c>
      <c r="K16" s="8" t="s">
        <v>81</v>
      </c>
      <c r="L16" s="8" t="s">
        <v>54</v>
      </c>
      <c r="M16" s="8" t="s">
        <v>96</v>
      </c>
      <c r="N16" s="8" t="s">
        <v>54</v>
      </c>
      <c r="O16" s="15">
        <v>539287</v>
      </c>
      <c r="P16" s="15">
        <v>539353</v>
      </c>
      <c r="Q16" s="15">
        <f t="shared" si="0"/>
        <v>66</v>
      </c>
      <c r="R16" s="6">
        <v>100</v>
      </c>
      <c r="S16" s="2" t="str">
        <f t="shared" si="1"/>
        <v>0</v>
      </c>
      <c r="T16" s="2">
        <v>0</v>
      </c>
      <c r="U16" s="3">
        <v>46161.5</v>
      </c>
      <c r="V16" s="3">
        <v>46161.5</v>
      </c>
      <c r="W16" s="3" t="b">
        <f t="shared" si="10"/>
        <v>1</v>
      </c>
      <c r="X16" s="3">
        <v>46161.725694444445</v>
      </c>
      <c r="Y16" s="4">
        <f t="shared" si="2"/>
        <v>0.22569444444525288</v>
      </c>
      <c r="Z16" s="7">
        <v>0.125</v>
      </c>
      <c r="AA16" s="4">
        <f t="shared" si="3"/>
        <v>0.10069444444525288</v>
      </c>
      <c r="AB16" s="19">
        <v>145</v>
      </c>
      <c r="AC16" s="19">
        <v>6.9</v>
      </c>
      <c r="AD16" s="20">
        <f t="shared" si="4"/>
        <v>350.41666666948004</v>
      </c>
      <c r="AE16" s="20">
        <f t="shared" si="5"/>
        <v>0</v>
      </c>
      <c r="AF16" s="20">
        <f t="shared" si="6"/>
        <v>0</v>
      </c>
      <c r="AG16" s="19">
        <v>690.00000000000011</v>
      </c>
      <c r="AH16" s="20">
        <v>5.9</v>
      </c>
      <c r="AI16" s="20">
        <f t="shared" si="7"/>
        <v>1046.3166666694801</v>
      </c>
      <c r="AJ16" s="1" t="s">
        <v>365</v>
      </c>
      <c r="AK16" s="1" t="s">
        <v>365</v>
      </c>
      <c r="AL16" s="1"/>
      <c r="AM16" s="1" t="s">
        <v>375</v>
      </c>
      <c r="AN16" s="1"/>
    </row>
    <row r="17" spans="1:40" s="13" customFormat="1" ht="12" customHeight="1" x14ac:dyDescent="0.3">
      <c r="A17" s="8" t="s">
        <v>37</v>
      </c>
      <c r="B17" s="8" t="s">
        <v>38</v>
      </c>
      <c r="C17" s="8" t="s">
        <v>364</v>
      </c>
      <c r="D17" s="8" t="s">
        <v>39</v>
      </c>
      <c r="E17" s="8" t="s">
        <v>99</v>
      </c>
      <c r="F17" s="9">
        <v>179018</v>
      </c>
      <c r="G17" s="9">
        <v>1555784</v>
      </c>
      <c r="H17" s="9">
        <v>5062</v>
      </c>
      <c r="I17" s="8" t="s">
        <v>100</v>
      </c>
      <c r="J17" s="8" t="s">
        <v>101</v>
      </c>
      <c r="K17" s="8" t="s">
        <v>102</v>
      </c>
      <c r="L17" s="8" t="s">
        <v>86</v>
      </c>
      <c r="M17" s="8" t="s">
        <v>55</v>
      </c>
      <c r="N17" s="8" t="s">
        <v>42</v>
      </c>
      <c r="O17" s="15">
        <v>142359</v>
      </c>
      <c r="P17" s="15">
        <v>142486</v>
      </c>
      <c r="Q17" s="15">
        <f t="shared" si="0"/>
        <v>127</v>
      </c>
      <c r="R17" s="6">
        <v>100</v>
      </c>
      <c r="S17" s="2">
        <f t="shared" si="1"/>
        <v>27</v>
      </c>
      <c r="T17" s="2">
        <v>0</v>
      </c>
      <c r="U17" s="3">
        <v>46162.395833333336</v>
      </c>
      <c r="V17" s="3">
        <v>46162.395833333336</v>
      </c>
      <c r="W17" s="3" t="b">
        <f>V17=U17</f>
        <v>1</v>
      </c>
      <c r="X17" s="3">
        <v>46162.598611111112</v>
      </c>
      <c r="Y17" s="4">
        <f t="shared" si="2"/>
        <v>0.20277777777664596</v>
      </c>
      <c r="Z17" s="7">
        <v>0.125</v>
      </c>
      <c r="AA17" s="4">
        <f t="shared" si="3"/>
        <v>7.7777777776645962E-2</v>
      </c>
      <c r="AB17" s="19">
        <v>145</v>
      </c>
      <c r="AC17" s="19">
        <v>6.9</v>
      </c>
      <c r="AD17" s="20">
        <f t="shared" si="4"/>
        <v>270.66666666272795</v>
      </c>
      <c r="AE17" s="20">
        <f t="shared" si="5"/>
        <v>186.3</v>
      </c>
      <c r="AF17" s="20">
        <f t="shared" si="6"/>
        <v>0</v>
      </c>
      <c r="AG17" s="19">
        <v>690</v>
      </c>
      <c r="AH17" s="20">
        <v>25</v>
      </c>
      <c r="AI17" s="20">
        <f t="shared" si="7"/>
        <v>1171.9666666627279</v>
      </c>
      <c r="AJ17" s="1" t="s">
        <v>365</v>
      </c>
      <c r="AK17" s="1" t="s">
        <v>365</v>
      </c>
      <c r="AL17" s="1"/>
      <c r="AM17" s="1" t="s">
        <v>375</v>
      </c>
      <c r="AN17" s="1"/>
    </row>
    <row r="18" spans="1:40" s="13" customFormat="1" ht="12" customHeight="1" x14ac:dyDescent="0.3">
      <c r="A18" s="8" t="s">
        <v>37</v>
      </c>
      <c r="B18" s="8" t="s">
        <v>38</v>
      </c>
      <c r="C18" s="8" t="s">
        <v>364</v>
      </c>
      <c r="D18" s="8" t="s">
        <v>39</v>
      </c>
      <c r="E18" s="8" t="s">
        <v>103</v>
      </c>
      <c r="F18" s="9">
        <v>179025</v>
      </c>
      <c r="G18" s="9">
        <v>1554873</v>
      </c>
      <c r="H18" s="9">
        <v>5051</v>
      </c>
      <c r="I18" s="8" t="s">
        <v>41</v>
      </c>
      <c r="J18" s="8" t="s">
        <v>104</v>
      </c>
      <c r="K18" s="8" t="s">
        <v>105</v>
      </c>
      <c r="L18" s="8" t="s">
        <v>44</v>
      </c>
      <c r="M18" s="8" t="s">
        <v>106</v>
      </c>
      <c r="N18" s="8" t="s">
        <v>54</v>
      </c>
      <c r="O18" s="15">
        <v>298135</v>
      </c>
      <c r="P18" s="15">
        <v>298748</v>
      </c>
      <c r="Q18" s="15">
        <f t="shared" si="0"/>
        <v>613</v>
      </c>
      <c r="R18" s="6">
        <v>600</v>
      </c>
      <c r="S18" s="2">
        <f t="shared" si="1"/>
        <v>13</v>
      </c>
      <c r="T18" s="2">
        <v>0</v>
      </c>
      <c r="U18" s="3">
        <v>46161.729166666664</v>
      </c>
      <c r="V18" s="3">
        <v>46161.729166666664</v>
      </c>
      <c r="W18" s="3" t="b">
        <f t="shared" ref="W18:W19" si="11">U18=V18</f>
        <v>1</v>
      </c>
      <c r="X18" s="3">
        <v>46162.535416666666</v>
      </c>
      <c r="Y18" s="4">
        <f t="shared" si="2"/>
        <v>0.80625000000145519</v>
      </c>
      <c r="Z18" s="7">
        <v>0.625</v>
      </c>
      <c r="AA18" s="4">
        <f t="shared" si="3"/>
        <v>0.18125000000145519</v>
      </c>
      <c r="AB18" s="19">
        <v>145</v>
      </c>
      <c r="AC18" s="19">
        <v>7.35</v>
      </c>
      <c r="AD18" s="20">
        <f t="shared" si="4"/>
        <v>630.75000000506407</v>
      </c>
      <c r="AE18" s="20">
        <f t="shared" si="5"/>
        <v>95.55</v>
      </c>
      <c r="AF18" s="20">
        <f t="shared" si="6"/>
        <v>0</v>
      </c>
      <c r="AG18" s="19">
        <v>4410</v>
      </c>
      <c r="AH18" s="20">
        <v>53.7</v>
      </c>
      <c r="AI18" s="20">
        <f t="shared" si="7"/>
        <v>5190.0000000050641</v>
      </c>
      <c r="AJ18" s="1" t="s">
        <v>365</v>
      </c>
      <c r="AK18" s="1" t="s">
        <v>365</v>
      </c>
      <c r="AL18" s="1"/>
      <c r="AM18" s="1" t="s">
        <v>382</v>
      </c>
      <c r="AN18" s="1"/>
    </row>
    <row r="19" spans="1:40" s="13" customFormat="1" ht="12" customHeight="1" x14ac:dyDescent="0.3">
      <c r="A19" s="8" t="s">
        <v>37</v>
      </c>
      <c r="B19" s="8" t="s">
        <v>38</v>
      </c>
      <c r="C19" s="8" t="s">
        <v>364</v>
      </c>
      <c r="D19" s="8" t="s">
        <v>39</v>
      </c>
      <c r="E19" s="8" t="s">
        <v>87</v>
      </c>
      <c r="F19" s="9">
        <v>179027</v>
      </c>
      <c r="G19" s="9">
        <v>1554944</v>
      </c>
      <c r="H19" s="9">
        <v>5053</v>
      </c>
      <c r="I19" s="8" t="s">
        <v>51</v>
      </c>
      <c r="J19" s="8" t="s">
        <v>107</v>
      </c>
      <c r="K19" s="8" t="s">
        <v>108</v>
      </c>
      <c r="L19" s="8" t="s">
        <v>54</v>
      </c>
      <c r="M19" s="8" t="s">
        <v>109</v>
      </c>
      <c r="N19" s="8" t="s">
        <v>110</v>
      </c>
      <c r="O19" s="15">
        <v>15059</v>
      </c>
      <c r="P19" s="15">
        <v>17769</v>
      </c>
      <c r="Q19" s="15">
        <f t="shared" si="0"/>
        <v>2710</v>
      </c>
      <c r="R19" s="6">
        <v>2700</v>
      </c>
      <c r="S19" s="2">
        <f t="shared" si="1"/>
        <v>10</v>
      </c>
      <c r="T19" s="2">
        <v>0</v>
      </c>
      <c r="U19" s="3">
        <v>46161.75</v>
      </c>
      <c r="V19" s="3">
        <v>46161.75</v>
      </c>
      <c r="W19" s="3" t="b">
        <f t="shared" si="11"/>
        <v>1</v>
      </c>
      <c r="X19" s="3">
        <v>46168.358333333337</v>
      </c>
      <c r="Y19" s="4">
        <f t="shared" si="2"/>
        <v>6.6083333333372138</v>
      </c>
      <c r="Z19" s="22">
        <v>2.9166666666666665</v>
      </c>
      <c r="AA19" s="4">
        <f t="shared" si="3"/>
        <v>3.6916666666705473</v>
      </c>
      <c r="AB19" s="19">
        <v>145</v>
      </c>
      <c r="AC19" s="19">
        <v>6.9</v>
      </c>
      <c r="AD19" s="20">
        <f t="shared" si="4"/>
        <v>12847.000000013504</v>
      </c>
      <c r="AE19" s="20">
        <f t="shared" si="5"/>
        <v>69</v>
      </c>
      <c r="AF19" s="20">
        <f t="shared" si="6"/>
        <v>0</v>
      </c>
      <c r="AG19" s="19">
        <v>19251</v>
      </c>
      <c r="AH19" s="20">
        <v>150.9</v>
      </c>
      <c r="AI19" s="20">
        <f t="shared" si="7"/>
        <v>32317.900000013506</v>
      </c>
      <c r="AJ19" s="1" t="s">
        <v>365</v>
      </c>
      <c r="AK19" s="1" t="s">
        <v>365</v>
      </c>
      <c r="AL19" s="1"/>
      <c r="AM19" s="1" t="s">
        <v>388</v>
      </c>
      <c r="AN19" s="1"/>
    </row>
    <row r="20" spans="1:40" s="13" customFormat="1" ht="12" customHeight="1" x14ac:dyDescent="0.3">
      <c r="A20" s="8" t="s">
        <v>37</v>
      </c>
      <c r="B20" s="8" t="s">
        <v>38</v>
      </c>
      <c r="C20" s="8" t="s">
        <v>364</v>
      </c>
      <c r="D20" s="8" t="s">
        <v>39</v>
      </c>
      <c r="E20" s="8" t="s">
        <v>87</v>
      </c>
      <c r="F20" s="9">
        <v>179033</v>
      </c>
      <c r="G20" s="9">
        <v>1556227</v>
      </c>
      <c r="H20" s="9">
        <v>5067</v>
      </c>
      <c r="I20" s="8" t="s">
        <v>111</v>
      </c>
      <c r="J20" s="8" t="s">
        <v>112</v>
      </c>
      <c r="K20" s="8" t="s">
        <v>113</v>
      </c>
      <c r="L20" s="8" t="s">
        <v>54</v>
      </c>
      <c r="M20" s="8" t="s">
        <v>114</v>
      </c>
      <c r="N20" s="8" t="s">
        <v>42</v>
      </c>
      <c r="O20" s="15">
        <v>346971</v>
      </c>
      <c r="P20" s="15">
        <v>346998</v>
      </c>
      <c r="Q20" s="15">
        <f t="shared" si="0"/>
        <v>27</v>
      </c>
      <c r="R20" s="6">
        <v>100</v>
      </c>
      <c r="S20" s="2" t="str">
        <f t="shared" si="1"/>
        <v>0</v>
      </c>
      <c r="T20" s="2">
        <v>0</v>
      </c>
      <c r="U20" s="3">
        <v>46162.666666666664</v>
      </c>
      <c r="V20" s="3">
        <v>46162.667071759257</v>
      </c>
      <c r="W20" s="3" t="b">
        <f t="shared" ref="W20:W23" si="12">V20=U20</f>
        <v>0</v>
      </c>
      <c r="X20" s="3">
        <v>46162.822916666672</v>
      </c>
      <c r="Y20" s="4">
        <f t="shared" si="2"/>
        <v>0.15625000000727596</v>
      </c>
      <c r="Z20" s="7">
        <v>0.125</v>
      </c>
      <c r="AA20" s="4">
        <f t="shared" si="3"/>
        <v>3.1250000007275958E-2</v>
      </c>
      <c r="AB20" s="19">
        <v>145</v>
      </c>
      <c r="AC20" s="19">
        <v>6.9</v>
      </c>
      <c r="AD20" s="20">
        <f t="shared" si="4"/>
        <v>108.75000002532033</v>
      </c>
      <c r="AE20" s="20">
        <f t="shared" si="5"/>
        <v>0</v>
      </c>
      <c r="AF20" s="20">
        <f t="shared" si="6"/>
        <v>0</v>
      </c>
      <c r="AG20" s="19">
        <v>690</v>
      </c>
      <c r="AH20" s="20">
        <v>0</v>
      </c>
      <c r="AI20" s="20">
        <f t="shared" si="7"/>
        <v>798.75000002532033</v>
      </c>
      <c r="AJ20" s="1" t="s">
        <v>365</v>
      </c>
      <c r="AK20" s="1" t="s">
        <v>365</v>
      </c>
      <c r="AL20" s="1"/>
      <c r="AM20" s="1" t="s">
        <v>375</v>
      </c>
      <c r="AN20" s="1"/>
    </row>
    <row r="21" spans="1:40" s="13" customFormat="1" ht="12" customHeight="1" x14ac:dyDescent="0.3">
      <c r="A21" s="8" t="s">
        <v>37</v>
      </c>
      <c r="B21" s="8" t="s">
        <v>38</v>
      </c>
      <c r="C21" s="8" t="s">
        <v>364</v>
      </c>
      <c r="D21" s="8" t="s">
        <v>39</v>
      </c>
      <c r="E21" s="8" t="s">
        <v>50</v>
      </c>
      <c r="F21" s="9">
        <v>179038</v>
      </c>
      <c r="G21" s="9">
        <v>1555044</v>
      </c>
      <c r="H21" s="9">
        <v>5065</v>
      </c>
      <c r="I21" s="8" t="s">
        <v>115</v>
      </c>
      <c r="J21" s="8" t="s">
        <v>116</v>
      </c>
      <c r="K21" s="8" t="s">
        <v>59</v>
      </c>
      <c r="L21" s="8" t="s">
        <v>54</v>
      </c>
      <c r="M21" s="8" t="s">
        <v>55</v>
      </c>
      <c r="N21" s="8" t="s">
        <v>42</v>
      </c>
      <c r="O21" s="15">
        <v>34016</v>
      </c>
      <c r="P21" s="15">
        <v>34125</v>
      </c>
      <c r="Q21" s="15">
        <f t="shared" si="0"/>
        <v>109</v>
      </c>
      <c r="R21" s="6">
        <v>100</v>
      </c>
      <c r="S21" s="2">
        <f t="shared" si="1"/>
        <v>9</v>
      </c>
      <c r="T21" s="2">
        <v>0</v>
      </c>
      <c r="U21" s="3">
        <v>46162.375</v>
      </c>
      <c r="V21" s="3">
        <v>46162.375</v>
      </c>
      <c r="W21" s="3" t="b">
        <f t="shared" si="12"/>
        <v>1</v>
      </c>
      <c r="X21" s="3">
        <v>46162.515277777777</v>
      </c>
      <c r="Y21" s="4">
        <f t="shared" si="2"/>
        <v>0.14027777777664596</v>
      </c>
      <c r="Z21" s="7">
        <v>0.125</v>
      </c>
      <c r="AA21" s="4">
        <f t="shared" si="3"/>
        <v>1.5277777776645962E-2</v>
      </c>
      <c r="AB21" s="19">
        <v>145</v>
      </c>
      <c r="AC21" s="19">
        <v>6.9</v>
      </c>
      <c r="AD21" s="20">
        <f t="shared" si="4"/>
        <v>53.166666662727948</v>
      </c>
      <c r="AE21" s="20">
        <f t="shared" si="5"/>
        <v>62.1</v>
      </c>
      <c r="AF21" s="20">
        <f t="shared" si="6"/>
        <v>0</v>
      </c>
      <c r="AG21" s="19">
        <v>690</v>
      </c>
      <c r="AH21" s="20">
        <v>25</v>
      </c>
      <c r="AI21" s="20">
        <f t="shared" si="7"/>
        <v>830.26666666272797</v>
      </c>
      <c r="AJ21" s="1" t="s">
        <v>365</v>
      </c>
      <c r="AK21" s="1" t="s">
        <v>365</v>
      </c>
      <c r="AL21" s="1"/>
      <c r="AM21" s="1" t="s">
        <v>375</v>
      </c>
      <c r="AN21" s="1"/>
    </row>
    <row r="22" spans="1:40" s="13" customFormat="1" ht="12" customHeight="1" x14ac:dyDescent="0.3">
      <c r="A22" s="8" t="s">
        <v>37</v>
      </c>
      <c r="B22" s="8" t="s">
        <v>38</v>
      </c>
      <c r="C22" s="8" t="s">
        <v>364</v>
      </c>
      <c r="D22" s="8" t="s">
        <v>39</v>
      </c>
      <c r="E22" s="8" t="s">
        <v>87</v>
      </c>
      <c r="F22" s="9">
        <v>179039</v>
      </c>
      <c r="G22" s="9">
        <v>1554728.1554727999</v>
      </c>
      <c r="H22" s="9">
        <v>5057</v>
      </c>
      <c r="I22" s="8" t="s">
        <v>117</v>
      </c>
      <c r="J22" s="8" t="s">
        <v>118</v>
      </c>
      <c r="K22" s="8" t="s">
        <v>119</v>
      </c>
      <c r="L22" s="8" t="s">
        <v>54</v>
      </c>
      <c r="M22" s="8" t="s">
        <v>120</v>
      </c>
      <c r="N22" s="8" t="s">
        <v>54</v>
      </c>
      <c r="O22" s="15">
        <v>27261</v>
      </c>
      <c r="P22" s="15">
        <v>27355</v>
      </c>
      <c r="Q22" s="15">
        <f t="shared" si="0"/>
        <v>94</v>
      </c>
      <c r="R22" s="6">
        <v>100</v>
      </c>
      <c r="S22" s="2" t="str">
        <f t="shared" si="1"/>
        <v>0</v>
      </c>
      <c r="T22" s="2">
        <v>0</v>
      </c>
      <c r="U22" s="3">
        <v>46161.854166666664</v>
      </c>
      <c r="V22" s="3">
        <v>46161.854166666664</v>
      </c>
      <c r="W22" s="3" t="b">
        <f t="shared" si="12"/>
        <v>1</v>
      </c>
      <c r="X22" s="3">
        <v>46162.429861111115</v>
      </c>
      <c r="Y22" s="4">
        <f t="shared" si="2"/>
        <v>0.57569444445107365</v>
      </c>
      <c r="Z22" s="7">
        <v>0.125</v>
      </c>
      <c r="AA22" s="4">
        <f t="shared" si="3"/>
        <v>0.45069444445107365</v>
      </c>
      <c r="AB22" s="19">
        <v>145</v>
      </c>
      <c r="AC22" s="19">
        <v>6.9</v>
      </c>
      <c r="AD22" s="20">
        <f t="shared" si="4"/>
        <v>1568.4166666897363</v>
      </c>
      <c r="AE22" s="20">
        <f t="shared" si="5"/>
        <v>0</v>
      </c>
      <c r="AF22" s="20">
        <f t="shared" si="6"/>
        <v>0</v>
      </c>
      <c r="AG22" s="19">
        <v>689.99999999999989</v>
      </c>
      <c r="AH22" s="20">
        <v>13.6</v>
      </c>
      <c r="AI22" s="20">
        <f t="shared" si="7"/>
        <v>2272.0166666897362</v>
      </c>
      <c r="AJ22" s="1" t="s">
        <v>365</v>
      </c>
      <c r="AK22" s="1" t="s">
        <v>365</v>
      </c>
      <c r="AL22" s="1"/>
      <c r="AM22" s="1" t="s">
        <v>375</v>
      </c>
      <c r="AN22" s="1"/>
    </row>
    <row r="23" spans="1:40" s="13" customFormat="1" ht="12" customHeight="1" x14ac:dyDescent="0.3">
      <c r="A23" s="8" t="s">
        <v>37</v>
      </c>
      <c r="B23" s="8" t="s">
        <v>38</v>
      </c>
      <c r="C23" s="8" t="s">
        <v>364</v>
      </c>
      <c r="D23" s="8" t="s">
        <v>39</v>
      </c>
      <c r="E23" s="8" t="s">
        <v>87</v>
      </c>
      <c r="F23" s="9">
        <v>179041</v>
      </c>
      <c r="G23" s="9">
        <v>1555239.1555238999</v>
      </c>
      <c r="H23" s="9">
        <v>5056</v>
      </c>
      <c r="I23" s="8" t="s">
        <v>94</v>
      </c>
      <c r="J23" s="8" t="s">
        <v>80</v>
      </c>
      <c r="K23" s="8" t="s">
        <v>119</v>
      </c>
      <c r="L23" s="8" t="s">
        <v>54</v>
      </c>
      <c r="M23" s="8" t="s">
        <v>90</v>
      </c>
      <c r="N23" s="8" t="s">
        <v>54</v>
      </c>
      <c r="O23" s="15">
        <v>29775</v>
      </c>
      <c r="P23" s="15">
        <v>29861</v>
      </c>
      <c r="Q23" s="15">
        <f t="shared" si="0"/>
        <v>86</v>
      </c>
      <c r="R23" s="6">
        <v>100</v>
      </c>
      <c r="S23" s="2" t="str">
        <f t="shared" si="1"/>
        <v>0</v>
      </c>
      <c r="T23" s="2">
        <v>0</v>
      </c>
      <c r="U23" s="3">
        <v>46161.833333333336</v>
      </c>
      <c r="V23" s="3">
        <v>46161.833333333336</v>
      </c>
      <c r="W23" s="3" t="b">
        <f t="shared" si="12"/>
        <v>1</v>
      </c>
      <c r="X23" s="3">
        <v>46161.958333333328</v>
      </c>
      <c r="Y23" s="4">
        <f t="shared" si="2"/>
        <v>0.12499999999272404</v>
      </c>
      <c r="Z23" s="7">
        <v>0.125</v>
      </c>
      <c r="AA23" s="4" t="str">
        <f t="shared" si="3"/>
        <v>00:00:00</v>
      </c>
      <c r="AB23" s="19">
        <v>145</v>
      </c>
      <c r="AC23" s="19">
        <v>6.9</v>
      </c>
      <c r="AD23" s="20">
        <f t="shared" si="4"/>
        <v>0</v>
      </c>
      <c r="AE23" s="20">
        <f t="shared" si="5"/>
        <v>0</v>
      </c>
      <c r="AF23" s="20">
        <f t="shared" si="6"/>
        <v>0</v>
      </c>
      <c r="AG23" s="19">
        <v>690</v>
      </c>
      <c r="AH23" s="20">
        <v>13.7</v>
      </c>
      <c r="AI23" s="20">
        <f t="shared" si="7"/>
        <v>703.7</v>
      </c>
      <c r="AJ23" s="1" t="s">
        <v>365</v>
      </c>
      <c r="AK23" s="1" t="s">
        <v>365</v>
      </c>
      <c r="AL23" s="1"/>
      <c r="AM23" s="1" t="s">
        <v>375</v>
      </c>
      <c r="AN23" s="1"/>
    </row>
    <row r="24" spans="1:40" s="13" customFormat="1" ht="12" customHeight="1" x14ac:dyDescent="0.3">
      <c r="A24" s="8" t="s">
        <v>37</v>
      </c>
      <c r="B24" s="8" t="s">
        <v>38</v>
      </c>
      <c r="C24" s="8" t="s">
        <v>364</v>
      </c>
      <c r="D24" s="8" t="s">
        <v>39</v>
      </c>
      <c r="E24" s="8" t="s">
        <v>121</v>
      </c>
      <c r="F24" s="9">
        <v>179048</v>
      </c>
      <c r="G24" s="9">
        <v>1555004</v>
      </c>
      <c r="H24" s="9">
        <v>5070</v>
      </c>
      <c r="I24" s="8" t="s">
        <v>122</v>
      </c>
      <c r="J24" s="8" t="s">
        <v>123</v>
      </c>
      <c r="K24" s="8" t="s">
        <v>81</v>
      </c>
      <c r="L24" s="8" t="s">
        <v>54</v>
      </c>
      <c r="M24" s="8" t="s">
        <v>124</v>
      </c>
      <c r="N24" s="8" t="s">
        <v>71</v>
      </c>
      <c r="O24" s="15">
        <v>197811</v>
      </c>
      <c r="P24" s="15">
        <v>198688</v>
      </c>
      <c r="Q24" s="15">
        <f t="shared" si="0"/>
        <v>877</v>
      </c>
      <c r="R24" s="6">
        <v>900</v>
      </c>
      <c r="S24" s="2" t="str">
        <f t="shared" si="1"/>
        <v>0</v>
      </c>
      <c r="T24" s="2">
        <v>0</v>
      </c>
      <c r="U24" s="3">
        <v>46162.291666666664</v>
      </c>
      <c r="V24" s="3">
        <v>46162.291666666664</v>
      </c>
      <c r="W24" s="3" t="b">
        <f t="shared" ref="W24:W27" si="13">U24=V24</f>
        <v>1</v>
      </c>
      <c r="X24" s="3">
        <v>46164.345138888893</v>
      </c>
      <c r="Y24" s="4">
        <f t="shared" si="2"/>
        <v>2.0534722222291748</v>
      </c>
      <c r="Z24" s="7">
        <v>0.95833333333333337</v>
      </c>
      <c r="AA24" s="4">
        <f t="shared" si="3"/>
        <v>1.0951388888958413</v>
      </c>
      <c r="AB24" s="19">
        <v>145</v>
      </c>
      <c r="AC24" s="19">
        <v>6.9</v>
      </c>
      <c r="AD24" s="20">
        <f t="shared" si="4"/>
        <v>3811.0833333575283</v>
      </c>
      <c r="AE24" s="20">
        <f t="shared" si="5"/>
        <v>0</v>
      </c>
      <c r="AF24" s="20">
        <f t="shared" si="6"/>
        <v>0</v>
      </c>
      <c r="AG24" s="19">
        <v>6209.9999999999991</v>
      </c>
      <c r="AH24" s="20">
        <v>85.3</v>
      </c>
      <c r="AI24" s="20">
        <f t="shared" si="7"/>
        <v>10106.383333357528</v>
      </c>
      <c r="AJ24" s="1" t="s">
        <v>365</v>
      </c>
      <c r="AK24" s="1" t="s">
        <v>365</v>
      </c>
      <c r="AL24" s="1"/>
      <c r="AM24" s="1" t="s">
        <v>383</v>
      </c>
      <c r="AN24" s="1"/>
    </row>
    <row r="25" spans="1:40" s="13" customFormat="1" ht="12" customHeight="1" x14ac:dyDescent="0.3">
      <c r="A25" s="8" t="s">
        <v>37</v>
      </c>
      <c r="B25" s="8" t="s">
        <v>38</v>
      </c>
      <c r="C25" s="8" t="s">
        <v>364</v>
      </c>
      <c r="D25" s="8" t="s">
        <v>39</v>
      </c>
      <c r="E25" s="8" t="s">
        <v>50</v>
      </c>
      <c r="F25" s="9">
        <v>179049</v>
      </c>
      <c r="G25" s="9">
        <v>1554731</v>
      </c>
      <c r="H25" s="9">
        <v>5058</v>
      </c>
      <c r="I25" s="8" t="s">
        <v>125</v>
      </c>
      <c r="J25" s="8" t="s">
        <v>126</v>
      </c>
      <c r="K25" s="8" t="s">
        <v>59</v>
      </c>
      <c r="L25" s="8" t="s">
        <v>54</v>
      </c>
      <c r="M25" s="8" t="s">
        <v>55</v>
      </c>
      <c r="N25" s="8" t="s">
        <v>42</v>
      </c>
      <c r="O25" s="15">
        <v>46497</v>
      </c>
      <c r="P25" s="15">
        <v>46698</v>
      </c>
      <c r="Q25" s="15">
        <f t="shared" si="0"/>
        <v>201</v>
      </c>
      <c r="R25" s="6">
        <v>200</v>
      </c>
      <c r="S25" s="2">
        <f t="shared" si="1"/>
        <v>1</v>
      </c>
      <c r="T25" s="2">
        <v>0</v>
      </c>
      <c r="U25" s="3">
        <v>46161.916666666664</v>
      </c>
      <c r="V25" s="3">
        <v>46161.916666666664</v>
      </c>
      <c r="W25" s="3" t="b">
        <f t="shared" si="13"/>
        <v>1</v>
      </c>
      <c r="X25" s="3">
        <v>46162.125</v>
      </c>
      <c r="Y25" s="4">
        <f t="shared" si="2"/>
        <v>0.20833333333575865</v>
      </c>
      <c r="Z25" s="7">
        <v>0.20833333333333334</v>
      </c>
      <c r="AA25" s="4">
        <f t="shared" si="3"/>
        <v>2.4253099528692701E-12</v>
      </c>
      <c r="AB25" s="19">
        <v>145</v>
      </c>
      <c r="AC25" s="19">
        <v>6.9</v>
      </c>
      <c r="AD25" s="20">
        <f t="shared" si="4"/>
        <v>8.4400786359850599E-9</v>
      </c>
      <c r="AE25" s="20">
        <f t="shared" si="5"/>
        <v>6.9</v>
      </c>
      <c r="AF25" s="20">
        <f t="shared" si="6"/>
        <v>0</v>
      </c>
      <c r="AG25" s="19">
        <v>1373.1</v>
      </c>
      <c r="AH25" s="20">
        <v>35</v>
      </c>
      <c r="AI25" s="20">
        <f t="shared" si="7"/>
        <v>1415.0000000084399</v>
      </c>
      <c r="AJ25" s="1" t="s">
        <v>365</v>
      </c>
      <c r="AK25" s="1" t="s">
        <v>365</v>
      </c>
      <c r="AL25" s="1"/>
      <c r="AM25" s="1" t="s">
        <v>373</v>
      </c>
      <c r="AN25" s="1"/>
    </row>
    <row r="26" spans="1:40" s="13" customFormat="1" ht="12" customHeight="1" x14ac:dyDescent="0.3">
      <c r="A26" s="8" t="s">
        <v>37</v>
      </c>
      <c r="B26" s="8" t="s">
        <v>38</v>
      </c>
      <c r="C26" s="8" t="s">
        <v>364</v>
      </c>
      <c r="D26" s="8" t="s">
        <v>39</v>
      </c>
      <c r="E26" s="8" t="s">
        <v>121</v>
      </c>
      <c r="F26" s="9">
        <v>179050</v>
      </c>
      <c r="G26" s="9">
        <v>1555002</v>
      </c>
      <c r="H26" s="9">
        <v>5069</v>
      </c>
      <c r="I26" s="8" t="s">
        <v>127</v>
      </c>
      <c r="J26" s="8" t="s">
        <v>128</v>
      </c>
      <c r="K26" s="8" t="s">
        <v>81</v>
      </c>
      <c r="L26" s="8" t="s">
        <v>54</v>
      </c>
      <c r="M26" s="8" t="s">
        <v>124</v>
      </c>
      <c r="N26" s="8" t="s">
        <v>71</v>
      </c>
      <c r="O26" s="15">
        <v>421294</v>
      </c>
      <c r="P26" s="15">
        <v>422178</v>
      </c>
      <c r="Q26" s="15">
        <f t="shared" si="0"/>
        <v>884</v>
      </c>
      <c r="R26" s="6">
        <v>900</v>
      </c>
      <c r="S26" s="2" t="str">
        <f t="shared" si="1"/>
        <v>0</v>
      </c>
      <c r="T26" s="2">
        <v>0</v>
      </c>
      <c r="U26" s="3">
        <v>46162.208333333336</v>
      </c>
      <c r="V26" s="3">
        <v>46162.208333333336</v>
      </c>
      <c r="W26" s="3" t="b">
        <f t="shared" si="13"/>
        <v>1</v>
      </c>
      <c r="X26" s="3">
        <v>46164.345833333333</v>
      </c>
      <c r="Y26" s="4">
        <f t="shared" si="2"/>
        <v>2.1374999999970896</v>
      </c>
      <c r="Z26" s="7">
        <v>0.95833333333333337</v>
      </c>
      <c r="AA26" s="4">
        <f t="shared" si="3"/>
        <v>1.1791666666637561</v>
      </c>
      <c r="AB26" s="19">
        <v>145</v>
      </c>
      <c r="AC26" s="19">
        <v>6.9</v>
      </c>
      <c r="AD26" s="20">
        <f t="shared" si="4"/>
        <v>4103.4999999898719</v>
      </c>
      <c r="AE26" s="20">
        <f t="shared" si="5"/>
        <v>0</v>
      </c>
      <c r="AF26" s="20">
        <f t="shared" si="6"/>
        <v>0</v>
      </c>
      <c r="AG26" s="19">
        <v>6209.9999999999991</v>
      </c>
      <c r="AH26" s="20">
        <v>85.3</v>
      </c>
      <c r="AI26" s="20">
        <f t="shared" si="7"/>
        <v>10398.799999989871</v>
      </c>
      <c r="AJ26" s="1" t="s">
        <v>365</v>
      </c>
      <c r="AK26" s="1" t="s">
        <v>365</v>
      </c>
      <c r="AL26" s="1"/>
      <c r="AM26" s="1" t="s">
        <v>383</v>
      </c>
      <c r="AN26" s="1"/>
    </row>
    <row r="27" spans="1:40" s="13" customFormat="1" ht="12" customHeight="1" x14ac:dyDescent="0.3">
      <c r="A27" s="8" t="s">
        <v>37</v>
      </c>
      <c r="B27" s="8" t="s">
        <v>38</v>
      </c>
      <c r="C27" s="8" t="s">
        <v>364</v>
      </c>
      <c r="D27" s="8" t="s">
        <v>39</v>
      </c>
      <c r="E27" s="8" t="s">
        <v>40</v>
      </c>
      <c r="F27" s="9">
        <v>179052</v>
      </c>
      <c r="G27" s="9">
        <v>1555156.1555156</v>
      </c>
      <c r="H27" s="9">
        <v>5071</v>
      </c>
      <c r="I27" s="8" t="s">
        <v>129</v>
      </c>
      <c r="J27" s="8" t="s">
        <v>130</v>
      </c>
      <c r="K27" s="8" t="s">
        <v>43</v>
      </c>
      <c r="L27" s="8" t="s">
        <v>44</v>
      </c>
      <c r="M27" s="8" t="s">
        <v>43</v>
      </c>
      <c r="N27" s="8" t="s">
        <v>44</v>
      </c>
      <c r="O27" s="15">
        <v>2595</v>
      </c>
      <c r="P27" s="15">
        <v>2596</v>
      </c>
      <c r="Q27" s="15">
        <f t="shared" si="0"/>
        <v>1</v>
      </c>
      <c r="R27" s="6">
        <v>100</v>
      </c>
      <c r="S27" s="2" t="str">
        <f t="shared" si="1"/>
        <v>0</v>
      </c>
      <c r="T27" s="2">
        <v>0</v>
      </c>
      <c r="U27" s="3">
        <v>46162.3125</v>
      </c>
      <c r="V27" s="3">
        <v>46162.3125</v>
      </c>
      <c r="W27" s="3" t="b">
        <f t="shared" si="13"/>
        <v>1</v>
      </c>
      <c r="X27" s="3">
        <v>46162.4375</v>
      </c>
      <c r="Y27" s="4">
        <f t="shared" si="2"/>
        <v>0.125</v>
      </c>
      <c r="Z27" s="7">
        <v>0.125</v>
      </c>
      <c r="AA27" s="4">
        <f t="shared" si="3"/>
        <v>0</v>
      </c>
      <c r="AB27" s="19">
        <v>145</v>
      </c>
      <c r="AC27" s="19">
        <v>7.35</v>
      </c>
      <c r="AD27" s="20">
        <f t="shared" si="4"/>
        <v>0</v>
      </c>
      <c r="AE27" s="20">
        <f t="shared" si="5"/>
        <v>0</v>
      </c>
      <c r="AF27" s="20">
        <f t="shared" si="6"/>
        <v>0</v>
      </c>
      <c r="AG27" s="19">
        <v>747.08</v>
      </c>
      <c r="AH27" s="20">
        <v>0</v>
      </c>
      <c r="AI27" s="20">
        <f t="shared" si="7"/>
        <v>747.08</v>
      </c>
      <c r="AJ27" s="1" t="s">
        <v>365</v>
      </c>
      <c r="AK27" s="1" t="s">
        <v>365</v>
      </c>
      <c r="AL27" s="1"/>
      <c r="AM27" s="1" t="s">
        <v>371</v>
      </c>
      <c r="AN27" s="1"/>
    </row>
    <row r="28" spans="1:40" s="13" customFormat="1" ht="12" customHeight="1" x14ac:dyDescent="0.3">
      <c r="A28" s="8" t="s">
        <v>37</v>
      </c>
      <c r="B28" s="8" t="s">
        <v>38</v>
      </c>
      <c r="C28" s="8" t="s">
        <v>364</v>
      </c>
      <c r="D28" s="8" t="s">
        <v>39</v>
      </c>
      <c r="E28" s="8" t="s">
        <v>131</v>
      </c>
      <c r="F28" s="9">
        <v>179056</v>
      </c>
      <c r="G28" s="9">
        <v>1555042</v>
      </c>
      <c r="H28" s="9">
        <v>5061</v>
      </c>
      <c r="I28" s="8" t="s">
        <v>132</v>
      </c>
      <c r="J28" s="8" t="s">
        <v>42</v>
      </c>
      <c r="K28" s="8" t="s">
        <v>108</v>
      </c>
      <c r="L28" s="8" t="s">
        <v>54</v>
      </c>
      <c r="M28" s="8" t="s">
        <v>133</v>
      </c>
      <c r="N28" s="8" t="s">
        <v>42</v>
      </c>
      <c r="O28" s="15">
        <v>108612</v>
      </c>
      <c r="P28" s="15">
        <v>108672</v>
      </c>
      <c r="Q28" s="15">
        <f t="shared" si="0"/>
        <v>60</v>
      </c>
      <c r="R28" s="6">
        <v>100</v>
      </c>
      <c r="S28" s="2" t="str">
        <f t="shared" si="1"/>
        <v>0</v>
      </c>
      <c r="T28" s="2">
        <v>0</v>
      </c>
      <c r="U28" s="3">
        <v>46162.145833333336</v>
      </c>
      <c r="V28" s="3">
        <v>46162.145833333336</v>
      </c>
      <c r="W28" s="3" t="b">
        <f>V28=U28</f>
        <v>1</v>
      </c>
      <c r="X28" s="3">
        <v>46162.270833333328</v>
      </c>
      <c r="Y28" s="4">
        <f t="shared" si="2"/>
        <v>0.12499999999272404</v>
      </c>
      <c r="Z28" s="7">
        <v>0.125</v>
      </c>
      <c r="AA28" s="4" t="str">
        <f t="shared" si="3"/>
        <v>00:00:00</v>
      </c>
      <c r="AB28" s="19">
        <v>145</v>
      </c>
      <c r="AC28" s="19">
        <v>6.9</v>
      </c>
      <c r="AD28" s="20">
        <f t="shared" si="4"/>
        <v>0</v>
      </c>
      <c r="AE28" s="20">
        <f t="shared" si="5"/>
        <v>0</v>
      </c>
      <c r="AF28" s="20">
        <f t="shared" si="6"/>
        <v>0</v>
      </c>
      <c r="AG28" s="19">
        <v>690</v>
      </c>
      <c r="AH28" s="20">
        <v>13.7</v>
      </c>
      <c r="AI28" s="20">
        <f t="shared" si="7"/>
        <v>703.7</v>
      </c>
      <c r="AJ28" s="1" t="s">
        <v>365</v>
      </c>
      <c r="AK28" s="1" t="s">
        <v>365</v>
      </c>
      <c r="AL28" s="1"/>
      <c r="AM28" s="1" t="s">
        <v>375</v>
      </c>
      <c r="AN28" s="1"/>
    </row>
    <row r="29" spans="1:40" s="13" customFormat="1" ht="12" customHeight="1" x14ac:dyDescent="0.3">
      <c r="A29" s="8" t="s">
        <v>37</v>
      </c>
      <c r="B29" s="8" t="s">
        <v>38</v>
      </c>
      <c r="C29" s="8" t="s">
        <v>364</v>
      </c>
      <c r="D29" s="8" t="s">
        <v>39</v>
      </c>
      <c r="E29" s="8" t="s">
        <v>121</v>
      </c>
      <c r="F29" s="9">
        <v>179080</v>
      </c>
      <c r="G29" s="9">
        <v>1555393</v>
      </c>
      <c r="H29" s="9">
        <v>5068</v>
      </c>
      <c r="I29" s="8" t="s">
        <v>134</v>
      </c>
      <c r="J29" s="8" t="s">
        <v>135</v>
      </c>
      <c r="K29" s="8" t="s">
        <v>81</v>
      </c>
      <c r="L29" s="8" t="s">
        <v>54</v>
      </c>
      <c r="M29" s="8" t="s">
        <v>124</v>
      </c>
      <c r="N29" s="8" t="s">
        <v>71</v>
      </c>
      <c r="O29" s="15">
        <v>94878</v>
      </c>
      <c r="P29" s="15">
        <v>95758</v>
      </c>
      <c r="Q29" s="15">
        <f t="shared" si="0"/>
        <v>880</v>
      </c>
      <c r="R29" s="6">
        <v>900</v>
      </c>
      <c r="S29" s="2" t="str">
        <f t="shared" si="1"/>
        <v>0</v>
      </c>
      <c r="T29" s="2">
        <v>0</v>
      </c>
      <c r="U29" s="3">
        <v>46162.041666666664</v>
      </c>
      <c r="V29" s="3">
        <v>46162.041666666664</v>
      </c>
      <c r="W29" s="3" t="b">
        <f>U29=V29</f>
        <v>1</v>
      </c>
      <c r="X29" s="3">
        <v>46163.075694444444</v>
      </c>
      <c r="Y29" s="4">
        <f t="shared" si="2"/>
        <v>1.0340277777795563</v>
      </c>
      <c r="Z29" s="7">
        <v>0.95833333333333337</v>
      </c>
      <c r="AA29" s="4">
        <f t="shared" si="3"/>
        <v>7.5694444446222975E-2</v>
      </c>
      <c r="AB29" s="19">
        <v>145</v>
      </c>
      <c r="AC29" s="19">
        <v>6.9</v>
      </c>
      <c r="AD29" s="20">
        <f t="shared" si="4"/>
        <v>263.41666667285597</v>
      </c>
      <c r="AE29" s="20">
        <f t="shared" si="5"/>
        <v>0</v>
      </c>
      <c r="AF29" s="20">
        <f t="shared" si="6"/>
        <v>0</v>
      </c>
      <c r="AG29" s="19">
        <v>6210</v>
      </c>
      <c r="AH29" s="20">
        <v>85.3</v>
      </c>
      <c r="AI29" s="20">
        <f t="shared" si="7"/>
        <v>6558.7166666728563</v>
      </c>
      <c r="AJ29" s="1" t="s">
        <v>365</v>
      </c>
      <c r="AK29" s="1" t="s">
        <v>365</v>
      </c>
      <c r="AL29" s="1"/>
      <c r="AM29" s="1" t="s">
        <v>383</v>
      </c>
      <c r="AN29" s="1"/>
    </row>
    <row r="30" spans="1:40" s="13" customFormat="1" ht="12" customHeight="1" x14ac:dyDescent="0.3">
      <c r="A30" s="8" t="s">
        <v>37</v>
      </c>
      <c r="B30" s="8" t="s">
        <v>38</v>
      </c>
      <c r="C30" s="8" t="s">
        <v>364</v>
      </c>
      <c r="D30" s="8" t="s">
        <v>39</v>
      </c>
      <c r="E30" s="8" t="s">
        <v>87</v>
      </c>
      <c r="F30" s="9">
        <v>179084</v>
      </c>
      <c r="G30" s="9">
        <v>1555614</v>
      </c>
      <c r="H30" s="9">
        <v>5073</v>
      </c>
      <c r="I30" s="8" t="s">
        <v>136</v>
      </c>
      <c r="J30" s="8" t="s">
        <v>137</v>
      </c>
      <c r="K30" s="8" t="s">
        <v>96</v>
      </c>
      <c r="L30" s="8" t="s">
        <v>54</v>
      </c>
      <c r="M30" s="8" t="s">
        <v>138</v>
      </c>
      <c r="N30" s="8" t="s">
        <v>54</v>
      </c>
      <c r="O30" s="15">
        <v>64306</v>
      </c>
      <c r="P30" s="15">
        <v>64350</v>
      </c>
      <c r="Q30" s="15">
        <f t="shared" si="0"/>
        <v>44</v>
      </c>
      <c r="R30" s="6">
        <v>100</v>
      </c>
      <c r="S30" s="2" t="str">
        <f t="shared" si="1"/>
        <v>0</v>
      </c>
      <c r="T30" s="2">
        <v>0</v>
      </c>
      <c r="U30" s="3">
        <v>46162.208333333336</v>
      </c>
      <c r="V30" s="3">
        <v>46162.208333333336</v>
      </c>
      <c r="W30" s="3" t="b">
        <f>V30=U30</f>
        <v>1</v>
      </c>
      <c r="X30" s="3">
        <v>46162.333333333328</v>
      </c>
      <c r="Y30" s="4">
        <f t="shared" si="2"/>
        <v>0.12499999999272404</v>
      </c>
      <c r="Z30" s="7">
        <v>0.125</v>
      </c>
      <c r="AA30" s="4" t="str">
        <f t="shared" si="3"/>
        <v>00:00:00</v>
      </c>
      <c r="AB30" s="19">
        <v>145</v>
      </c>
      <c r="AC30" s="19">
        <v>6.9</v>
      </c>
      <c r="AD30" s="20">
        <f t="shared" si="4"/>
        <v>0</v>
      </c>
      <c r="AE30" s="20">
        <f t="shared" si="5"/>
        <v>0</v>
      </c>
      <c r="AF30" s="20">
        <f t="shared" si="6"/>
        <v>0</v>
      </c>
      <c r="AG30" s="19">
        <v>690</v>
      </c>
      <c r="AH30" s="20">
        <v>5.9</v>
      </c>
      <c r="AI30" s="20">
        <f t="shared" si="7"/>
        <v>695.9</v>
      </c>
      <c r="AJ30" s="1" t="s">
        <v>365</v>
      </c>
      <c r="AK30" s="1" t="s">
        <v>365</v>
      </c>
      <c r="AL30" s="1"/>
      <c r="AM30" s="1" t="s">
        <v>375</v>
      </c>
      <c r="AN30" s="1"/>
    </row>
    <row r="31" spans="1:40" s="13" customFormat="1" ht="12" customHeight="1" x14ac:dyDescent="0.3">
      <c r="A31" s="8" t="s">
        <v>37</v>
      </c>
      <c r="B31" s="8" t="s">
        <v>38</v>
      </c>
      <c r="C31" s="8" t="s">
        <v>364</v>
      </c>
      <c r="D31" s="8" t="s">
        <v>39</v>
      </c>
      <c r="E31" s="8" t="s">
        <v>73</v>
      </c>
      <c r="F31" s="9">
        <v>179087</v>
      </c>
      <c r="G31" s="9">
        <v>1555627</v>
      </c>
      <c r="H31" s="9">
        <v>5074</v>
      </c>
      <c r="I31" s="8" t="s">
        <v>139</v>
      </c>
      <c r="J31" s="8" t="s">
        <v>140</v>
      </c>
      <c r="K31" s="8" t="s">
        <v>76</v>
      </c>
      <c r="L31" s="8" t="s">
        <v>77</v>
      </c>
      <c r="M31" s="8" t="s">
        <v>78</v>
      </c>
      <c r="N31" s="8" t="s">
        <v>77</v>
      </c>
      <c r="O31" s="15">
        <v>250654</v>
      </c>
      <c r="P31" s="15">
        <v>250714</v>
      </c>
      <c r="Q31" s="15">
        <f t="shared" si="0"/>
        <v>60</v>
      </c>
      <c r="R31" s="6">
        <v>100</v>
      </c>
      <c r="S31" s="2" t="str">
        <f t="shared" si="1"/>
        <v>0</v>
      </c>
      <c r="T31" s="2">
        <v>0</v>
      </c>
      <c r="U31" s="3">
        <v>46162.25</v>
      </c>
      <c r="V31" s="3">
        <v>46162.25</v>
      </c>
      <c r="W31" s="3" t="b">
        <f>U31=V31</f>
        <v>1</v>
      </c>
      <c r="X31" s="3">
        <v>46162.440972222219</v>
      </c>
      <c r="Y31" s="4">
        <f t="shared" si="2"/>
        <v>0.19097222221898846</v>
      </c>
      <c r="Z31" s="7">
        <v>0.125</v>
      </c>
      <c r="AA31" s="4">
        <f t="shared" si="3"/>
        <v>6.5972222218988463E-2</v>
      </c>
      <c r="AB31" s="19">
        <v>145</v>
      </c>
      <c r="AC31" s="19">
        <v>7.35</v>
      </c>
      <c r="AD31" s="20">
        <f t="shared" si="4"/>
        <v>229.58333332207985</v>
      </c>
      <c r="AE31" s="20">
        <f t="shared" si="5"/>
        <v>0</v>
      </c>
      <c r="AF31" s="20">
        <f t="shared" si="6"/>
        <v>0</v>
      </c>
      <c r="AG31" s="19">
        <v>674.58999999999992</v>
      </c>
      <c r="AH31" s="20">
        <v>0</v>
      </c>
      <c r="AI31" s="20">
        <f t="shared" si="7"/>
        <v>904.17333332207977</v>
      </c>
      <c r="AJ31" s="1" t="s">
        <v>366</v>
      </c>
      <c r="AK31" s="1" t="s">
        <v>365</v>
      </c>
      <c r="AL31" s="1" t="s">
        <v>365</v>
      </c>
      <c r="AM31" s="1" t="s">
        <v>367</v>
      </c>
      <c r="AN31" s="1"/>
    </row>
    <row r="32" spans="1:40" s="13" customFormat="1" ht="12" customHeight="1" x14ac:dyDescent="0.3">
      <c r="A32" s="8" t="s">
        <v>37</v>
      </c>
      <c r="B32" s="8" t="s">
        <v>38</v>
      </c>
      <c r="C32" s="8" t="s">
        <v>364</v>
      </c>
      <c r="D32" s="8" t="s">
        <v>39</v>
      </c>
      <c r="E32" s="8" t="s">
        <v>141</v>
      </c>
      <c r="F32" s="9">
        <v>179088</v>
      </c>
      <c r="G32" s="9">
        <v>1555669</v>
      </c>
      <c r="H32" s="9">
        <v>5076</v>
      </c>
      <c r="I32" s="8" t="s">
        <v>142</v>
      </c>
      <c r="J32" s="8" t="s">
        <v>143</v>
      </c>
      <c r="K32" s="8" t="s">
        <v>144</v>
      </c>
      <c r="L32" s="8" t="s">
        <v>145</v>
      </c>
      <c r="M32" s="8" t="s">
        <v>146</v>
      </c>
      <c r="N32" s="8" t="s">
        <v>145</v>
      </c>
      <c r="O32" s="15">
        <v>85334</v>
      </c>
      <c r="P32" s="15">
        <v>85363</v>
      </c>
      <c r="Q32" s="15">
        <f t="shared" si="0"/>
        <v>29</v>
      </c>
      <c r="R32" s="6">
        <v>100</v>
      </c>
      <c r="S32" s="2" t="str">
        <f t="shared" si="1"/>
        <v>0</v>
      </c>
      <c r="T32" s="2">
        <v>0</v>
      </c>
      <c r="U32" s="3">
        <v>46162.333333333336</v>
      </c>
      <c r="V32" s="3">
        <v>46162.291666666664</v>
      </c>
      <c r="W32" s="3" t="b">
        <f>V32=U32</f>
        <v>0</v>
      </c>
      <c r="X32" s="3">
        <v>46162.458333333328</v>
      </c>
      <c r="Y32" s="4">
        <f t="shared" si="2"/>
        <v>0.12499999999272404</v>
      </c>
      <c r="Z32" s="7">
        <v>0.125</v>
      </c>
      <c r="AA32" s="4" t="str">
        <f t="shared" si="3"/>
        <v>00:00:00</v>
      </c>
      <c r="AB32" s="19">
        <v>145</v>
      </c>
      <c r="AC32" s="19">
        <v>6.9</v>
      </c>
      <c r="AD32" s="20">
        <f t="shared" si="4"/>
        <v>0</v>
      </c>
      <c r="AE32" s="20">
        <f t="shared" si="5"/>
        <v>0</v>
      </c>
      <c r="AF32" s="20">
        <f t="shared" si="6"/>
        <v>0</v>
      </c>
      <c r="AG32" s="19">
        <v>690</v>
      </c>
      <c r="AH32" s="20">
        <v>0</v>
      </c>
      <c r="AI32" s="20">
        <f t="shared" si="7"/>
        <v>690</v>
      </c>
      <c r="AJ32" s="1" t="s">
        <v>365</v>
      </c>
      <c r="AK32" s="1" t="s">
        <v>365</v>
      </c>
      <c r="AL32" s="1"/>
      <c r="AM32" s="1" t="s">
        <v>375</v>
      </c>
      <c r="AN32" s="1"/>
    </row>
    <row r="33" spans="1:40" s="13" customFormat="1" ht="12" customHeight="1" x14ac:dyDescent="0.3">
      <c r="A33" s="8" t="s">
        <v>37</v>
      </c>
      <c r="B33" s="8" t="s">
        <v>38</v>
      </c>
      <c r="C33" s="8" t="s">
        <v>364</v>
      </c>
      <c r="D33" s="8" t="s">
        <v>39</v>
      </c>
      <c r="E33" s="8" t="s">
        <v>50</v>
      </c>
      <c r="F33" s="9">
        <v>179098</v>
      </c>
      <c r="G33" s="9">
        <v>1555438</v>
      </c>
      <c r="H33" s="9">
        <v>5078</v>
      </c>
      <c r="I33" s="8" t="s">
        <v>147</v>
      </c>
      <c r="J33" s="8" t="s">
        <v>148</v>
      </c>
      <c r="K33" s="8" t="s">
        <v>53</v>
      </c>
      <c r="L33" s="8" t="s">
        <v>54</v>
      </c>
      <c r="M33" s="8" t="s">
        <v>55</v>
      </c>
      <c r="N33" s="8" t="s">
        <v>42</v>
      </c>
      <c r="O33" s="15">
        <v>498198</v>
      </c>
      <c r="P33" s="15">
        <v>498399</v>
      </c>
      <c r="Q33" s="15">
        <f t="shared" si="0"/>
        <v>201</v>
      </c>
      <c r="R33" s="6">
        <v>200</v>
      </c>
      <c r="S33" s="2">
        <f t="shared" si="1"/>
        <v>1</v>
      </c>
      <c r="T33" s="2">
        <v>0</v>
      </c>
      <c r="U33" s="3">
        <v>46162.336805555555</v>
      </c>
      <c r="V33" s="3">
        <v>46162.336805555555</v>
      </c>
      <c r="W33" s="3" t="b">
        <f>U33=V33</f>
        <v>1</v>
      </c>
      <c r="X33" s="3">
        <v>46162.59375</v>
      </c>
      <c r="Y33" s="4">
        <f t="shared" si="2"/>
        <v>0.25694444444525288</v>
      </c>
      <c r="Z33" s="7">
        <v>0.20833333333333334</v>
      </c>
      <c r="AA33" s="4">
        <f t="shared" si="3"/>
        <v>4.8611111111919542E-2</v>
      </c>
      <c r="AB33" s="19">
        <v>145</v>
      </c>
      <c r="AC33" s="19">
        <v>6.9</v>
      </c>
      <c r="AD33" s="20">
        <f t="shared" si="4"/>
        <v>169.16666666948001</v>
      </c>
      <c r="AE33" s="20">
        <f t="shared" si="5"/>
        <v>6.9</v>
      </c>
      <c r="AF33" s="20">
        <f t="shared" si="6"/>
        <v>0</v>
      </c>
      <c r="AG33" s="19">
        <v>1373.1</v>
      </c>
      <c r="AH33" s="20">
        <v>35</v>
      </c>
      <c r="AI33" s="20">
        <f t="shared" si="7"/>
        <v>1584.16666666948</v>
      </c>
      <c r="AJ33" s="1" t="s">
        <v>365</v>
      </c>
      <c r="AK33" s="1" t="s">
        <v>365</v>
      </c>
      <c r="AL33" s="1"/>
      <c r="AM33" s="1" t="s">
        <v>373</v>
      </c>
      <c r="AN33" s="1"/>
    </row>
    <row r="34" spans="1:40" s="13" customFormat="1" ht="12" customHeight="1" x14ac:dyDescent="0.3">
      <c r="A34" s="8" t="s">
        <v>37</v>
      </c>
      <c r="B34" s="8" t="s">
        <v>38</v>
      </c>
      <c r="C34" s="8" t="s">
        <v>364</v>
      </c>
      <c r="D34" s="8" t="s">
        <v>39</v>
      </c>
      <c r="E34" s="8" t="s">
        <v>131</v>
      </c>
      <c r="F34" s="9">
        <v>179099</v>
      </c>
      <c r="G34" s="9">
        <v>1556042</v>
      </c>
      <c r="H34" s="9">
        <v>5080</v>
      </c>
      <c r="I34" s="8" t="s">
        <v>149</v>
      </c>
      <c r="J34" s="8" t="s">
        <v>150</v>
      </c>
      <c r="K34" s="8" t="s">
        <v>81</v>
      </c>
      <c r="L34" s="8" t="s">
        <v>54</v>
      </c>
      <c r="M34" s="8" t="s">
        <v>133</v>
      </c>
      <c r="N34" s="8" t="s">
        <v>42</v>
      </c>
      <c r="O34" s="15">
        <v>30412</v>
      </c>
      <c r="P34" s="15">
        <v>30458</v>
      </c>
      <c r="Q34" s="15">
        <f t="shared" si="0"/>
        <v>46</v>
      </c>
      <c r="R34" s="6">
        <v>100</v>
      </c>
      <c r="S34" s="2" t="str">
        <f t="shared" si="1"/>
        <v>0</v>
      </c>
      <c r="T34" s="2">
        <v>0</v>
      </c>
      <c r="U34" s="3">
        <v>46162.381944444445</v>
      </c>
      <c r="V34" s="3">
        <v>46162.381944444445</v>
      </c>
      <c r="W34" s="3" t="b">
        <f>V34=U34</f>
        <v>1</v>
      </c>
      <c r="X34" s="3">
        <v>46162.506944444445</v>
      </c>
      <c r="Y34" s="4">
        <f t="shared" ref="Y34:Y65" si="14">X34-U34</f>
        <v>0.125</v>
      </c>
      <c r="Z34" s="7">
        <v>0.125</v>
      </c>
      <c r="AA34" s="4">
        <f t="shared" si="3"/>
        <v>0</v>
      </c>
      <c r="AB34" s="19">
        <v>145</v>
      </c>
      <c r="AC34" s="19">
        <v>6.9</v>
      </c>
      <c r="AD34" s="20">
        <f t="shared" si="4"/>
        <v>0</v>
      </c>
      <c r="AE34" s="20">
        <f t="shared" ref="AE34:AE65" si="15">S34*AC34</f>
        <v>0</v>
      </c>
      <c r="AF34" s="20">
        <f t="shared" ref="AF34:AF65" si="16">T34*AC34</f>
        <v>0</v>
      </c>
      <c r="AG34" s="19">
        <v>690</v>
      </c>
      <c r="AH34" s="20">
        <v>0</v>
      </c>
      <c r="AI34" s="20">
        <f t="shared" si="7"/>
        <v>690</v>
      </c>
      <c r="AJ34" s="1" t="s">
        <v>365</v>
      </c>
      <c r="AK34" s="1" t="s">
        <v>365</v>
      </c>
      <c r="AL34" s="1"/>
      <c r="AM34" s="1" t="s">
        <v>375</v>
      </c>
      <c r="AN34" s="1"/>
    </row>
    <row r="35" spans="1:40" s="13" customFormat="1" ht="12" customHeight="1" x14ac:dyDescent="0.3">
      <c r="A35" s="8" t="s">
        <v>37</v>
      </c>
      <c r="B35" s="8" t="s">
        <v>38</v>
      </c>
      <c r="C35" s="8" t="s">
        <v>364</v>
      </c>
      <c r="D35" s="8" t="s">
        <v>39</v>
      </c>
      <c r="E35" s="8" t="s">
        <v>121</v>
      </c>
      <c r="F35" s="9">
        <v>179117</v>
      </c>
      <c r="G35" s="9">
        <v>1556316</v>
      </c>
      <c r="H35" s="9">
        <v>5097</v>
      </c>
      <c r="I35" s="8" t="s">
        <v>151</v>
      </c>
      <c r="J35" s="8" t="s">
        <v>152</v>
      </c>
      <c r="K35" s="8" t="s">
        <v>108</v>
      </c>
      <c r="L35" s="8" t="s">
        <v>54</v>
      </c>
      <c r="M35" s="8" t="s">
        <v>153</v>
      </c>
      <c r="N35" s="8" t="s">
        <v>71</v>
      </c>
      <c r="O35" s="15">
        <v>3454</v>
      </c>
      <c r="P35" s="15">
        <v>4321</v>
      </c>
      <c r="Q35" s="15">
        <f t="shared" si="0"/>
        <v>867</v>
      </c>
      <c r="R35" s="6">
        <v>900</v>
      </c>
      <c r="S35" s="2" t="str">
        <f t="shared" si="1"/>
        <v>0</v>
      </c>
      <c r="T35" s="2">
        <v>0</v>
      </c>
      <c r="U35" s="3">
        <v>46163.166666666664</v>
      </c>
      <c r="V35" s="3">
        <v>46163.166666666664</v>
      </c>
      <c r="W35" s="3" t="b">
        <f>U35=V35</f>
        <v>1</v>
      </c>
      <c r="X35" s="3">
        <v>46164.517361111109</v>
      </c>
      <c r="Y35" s="4">
        <f t="shared" si="14"/>
        <v>1.3506944444452529</v>
      </c>
      <c r="Z35" s="7">
        <v>0.95833333333333337</v>
      </c>
      <c r="AA35" s="4">
        <f t="shared" si="3"/>
        <v>0.39236111111191951</v>
      </c>
      <c r="AB35" s="19">
        <v>145</v>
      </c>
      <c r="AC35" s="19">
        <v>6.9</v>
      </c>
      <c r="AD35" s="20">
        <f t="shared" si="4"/>
        <v>1365.41666666948</v>
      </c>
      <c r="AE35" s="20">
        <f t="shared" si="15"/>
        <v>0</v>
      </c>
      <c r="AF35" s="20">
        <f t="shared" si="16"/>
        <v>0</v>
      </c>
      <c r="AG35" s="19">
        <v>6210</v>
      </c>
      <c r="AH35" s="20">
        <v>85.3</v>
      </c>
      <c r="AI35" s="20">
        <f t="shared" si="7"/>
        <v>7660.7166666694802</v>
      </c>
      <c r="AJ35" s="1" t="s">
        <v>365</v>
      </c>
      <c r="AK35" s="1" t="s">
        <v>365</v>
      </c>
      <c r="AL35" s="1"/>
      <c r="AM35" s="1" t="s">
        <v>383</v>
      </c>
      <c r="AN35" s="1"/>
    </row>
    <row r="36" spans="1:40" s="13" customFormat="1" ht="12" customHeight="1" x14ac:dyDescent="0.3">
      <c r="A36" s="8" t="s">
        <v>37</v>
      </c>
      <c r="B36" s="8" t="s">
        <v>38</v>
      </c>
      <c r="C36" s="8" t="s">
        <v>364</v>
      </c>
      <c r="D36" s="8" t="s">
        <v>39</v>
      </c>
      <c r="E36" s="8" t="s">
        <v>154</v>
      </c>
      <c r="F36" s="9">
        <v>179123</v>
      </c>
      <c r="G36" s="9">
        <v>1556626</v>
      </c>
      <c r="H36" s="9">
        <v>5085</v>
      </c>
      <c r="I36" s="8" t="s">
        <v>155</v>
      </c>
      <c r="J36" s="8" t="s">
        <v>156</v>
      </c>
      <c r="K36" s="8" t="s">
        <v>157</v>
      </c>
      <c r="L36" s="8" t="s">
        <v>54</v>
      </c>
      <c r="M36" s="8" t="s">
        <v>59</v>
      </c>
      <c r="N36" s="8" t="s">
        <v>54</v>
      </c>
      <c r="O36" s="15">
        <v>80237</v>
      </c>
      <c r="P36" s="15">
        <v>80240</v>
      </c>
      <c r="Q36" s="15">
        <f t="shared" si="0"/>
        <v>3</v>
      </c>
      <c r="R36" s="6">
        <v>100</v>
      </c>
      <c r="S36" s="2" t="str">
        <f t="shared" si="1"/>
        <v>0</v>
      </c>
      <c r="T36" s="2">
        <v>0</v>
      </c>
      <c r="U36" s="3">
        <v>46162.654861111114</v>
      </c>
      <c r="V36" s="3">
        <v>46162.674305555556</v>
      </c>
      <c r="W36" s="3" t="b">
        <f t="shared" ref="W36:W39" si="17">V36=U36</f>
        <v>0</v>
      </c>
      <c r="X36" s="3">
        <v>46162.779861111107</v>
      </c>
      <c r="Y36" s="4">
        <f t="shared" si="14"/>
        <v>0.12499999999272404</v>
      </c>
      <c r="Z36" s="7">
        <v>0.125</v>
      </c>
      <c r="AA36" s="4" t="str">
        <f t="shared" si="3"/>
        <v>00:00:00</v>
      </c>
      <c r="AB36" s="19">
        <v>145</v>
      </c>
      <c r="AC36" s="19">
        <v>6.9</v>
      </c>
      <c r="AD36" s="20">
        <f t="shared" si="4"/>
        <v>0</v>
      </c>
      <c r="AE36" s="20">
        <f t="shared" si="15"/>
        <v>0</v>
      </c>
      <c r="AF36" s="20">
        <f t="shared" si="16"/>
        <v>0</v>
      </c>
      <c r="AG36" s="19">
        <v>690</v>
      </c>
      <c r="AH36" s="20">
        <v>0</v>
      </c>
      <c r="AI36" s="20">
        <f t="shared" si="7"/>
        <v>690</v>
      </c>
      <c r="AJ36" s="1" t="s">
        <v>365</v>
      </c>
      <c r="AK36" s="1" t="s">
        <v>365</v>
      </c>
      <c r="AL36" s="1"/>
      <c r="AM36" s="1" t="s">
        <v>370</v>
      </c>
      <c r="AN36" s="1"/>
    </row>
    <row r="37" spans="1:40" s="13" customFormat="1" ht="12" customHeight="1" x14ac:dyDescent="0.3">
      <c r="A37" s="8" t="s">
        <v>37</v>
      </c>
      <c r="B37" s="8" t="s">
        <v>38</v>
      </c>
      <c r="C37" s="8" t="s">
        <v>364</v>
      </c>
      <c r="D37" s="8" t="s">
        <v>39</v>
      </c>
      <c r="E37" s="8" t="s">
        <v>158</v>
      </c>
      <c r="F37" s="9">
        <v>179133</v>
      </c>
      <c r="G37" s="9">
        <v>1557674</v>
      </c>
      <c r="H37" s="9">
        <v>5115</v>
      </c>
      <c r="I37" s="8" t="s">
        <v>159</v>
      </c>
      <c r="J37" s="8" t="s">
        <v>160</v>
      </c>
      <c r="K37" s="8" t="s">
        <v>161</v>
      </c>
      <c r="L37" s="8" t="s">
        <v>71</v>
      </c>
      <c r="M37" s="8" t="s">
        <v>162</v>
      </c>
      <c r="N37" s="8" t="s">
        <v>71</v>
      </c>
      <c r="O37" s="15">
        <v>62696</v>
      </c>
      <c r="P37" s="15">
        <v>62721</v>
      </c>
      <c r="Q37" s="15">
        <f t="shared" si="0"/>
        <v>25</v>
      </c>
      <c r="R37" s="6">
        <v>100</v>
      </c>
      <c r="S37" s="2" t="str">
        <f t="shared" si="1"/>
        <v>0</v>
      </c>
      <c r="T37" s="2">
        <v>0</v>
      </c>
      <c r="U37" s="3">
        <v>46163.375</v>
      </c>
      <c r="V37" s="3">
        <v>46163.375</v>
      </c>
      <c r="W37" s="3" t="b">
        <f t="shared" si="17"/>
        <v>1</v>
      </c>
      <c r="X37" s="3">
        <v>46163.5</v>
      </c>
      <c r="Y37" s="4">
        <f t="shared" si="14"/>
        <v>0.125</v>
      </c>
      <c r="Z37" s="7">
        <v>0.125</v>
      </c>
      <c r="AA37" s="4">
        <f t="shared" si="3"/>
        <v>0</v>
      </c>
      <c r="AB37" s="19">
        <v>145</v>
      </c>
      <c r="AC37" s="19">
        <v>6.9</v>
      </c>
      <c r="AD37" s="20">
        <f t="shared" si="4"/>
        <v>0</v>
      </c>
      <c r="AE37" s="20">
        <f t="shared" si="15"/>
        <v>0</v>
      </c>
      <c r="AF37" s="20">
        <f t="shared" si="16"/>
        <v>0</v>
      </c>
      <c r="AG37" s="19">
        <v>690</v>
      </c>
      <c r="AH37" s="20">
        <v>0</v>
      </c>
      <c r="AI37" s="20">
        <f t="shared" si="7"/>
        <v>690</v>
      </c>
      <c r="AJ37" s="1" t="s">
        <v>365</v>
      </c>
      <c r="AK37" s="1" t="s">
        <v>365</v>
      </c>
      <c r="AL37" s="1"/>
      <c r="AM37" s="1" t="s">
        <v>375</v>
      </c>
      <c r="AN37" s="1"/>
    </row>
    <row r="38" spans="1:40" s="13" customFormat="1" ht="12" customHeight="1" x14ac:dyDescent="0.3">
      <c r="A38" s="8" t="s">
        <v>37</v>
      </c>
      <c r="B38" s="8" t="s">
        <v>38</v>
      </c>
      <c r="C38" s="8" t="s">
        <v>364</v>
      </c>
      <c r="D38" s="8" t="s">
        <v>39</v>
      </c>
      <c r="E38" s="8" t="s">
        <v>163</v>
      </c>
      <c r="F38" s="9">
        <v>179137</v>
      </c>
      <c r="G38" s="9">
        <v>1556717</v>
      </c>
      <c r="H38" s="9">
        <v>5093</v>
      </c>
      <c r="I38" s="8" t="s">
        <v>149</v>
      </c>
      <c r="J38" s="8" t="s">
        <v>164</v>
      </c>
      <c r="K38" s="8" t="s">
        <v>165</v>
      </c>
      <c r="L38" s="8" t="s">
        <v>54</v>
      </c>
      <c r="M38" s="8" t="s">
        <v>166</v>
      </c>
      <c r="N38" s="8" t="s">
        <v>54</v>
      </c>
      <c r="O38" s="15">
        <v>30584</v>
      </c>
      <c r="P38" s="15">
        <v>30660</v>
      </c>
      <c r="Q38" s="15">
        <f t="shared" si="0"/>
        <v>76</v>
      </c>
      <c r="R38" s="6">
        <v>100</v>
      </c>
      <c r="S38" s="2" t="str">
        <f t="shared" si="1"/>
        <v>0</v>
      </c>
      <c r="T38" s="2">
        <v>0</v>
      </c>
      <c r="U38" s="3">
        <v>46162.777777777781</v>
      </c>
      <c r="V38" s="3">
        <v>46162.777777777781</v>
      </c>
      <c r="W38" s="3" t="b">
        <f t="shared" si="17"/>
        <v>1</v>
      </c>
      <c r="X38" s="3">
        <v>46162.902777777781</v>
      </c>
      <c r="Y38" s="4">
        <f t="shared" si="14"/>
        <v>0.125</v>
      </c>
      <c r="Z38" s="7">
        <v>0.125</v>
      </c>
      <c r="AA38" s="4">
        <f t="shared" si="3"/>
        <v>0</v>
      </c>
      <c r="AB38" s="19">
        <v>145</v>
      </c>
      <c r="AC38" s="19">
        <v>6.9</v>
      </c>
      <c r="AD38" s="20">
        <f t="shared" si="4"/>
        <v>0</v>
      </c>
      <c r="AE38" s="20">
        <f t="shared" si="15"/>
        <v>0</v>
      </c>
      <c r="AF38" s="20">
        <f t="shared" si="16"/>
        <v>0</v>
      </c>
      <c r="AG38" s="19">
        <v>690</v>
      </c>
      <c r="AH38" s="20">
        <v>13.7</v>
      </c>
      <c r="AI38" s="20">
        <f t="shared" si="7"/>
        <v>703.7</v>
      </c>
      <c r="AJ38" s="1" t="s">
        <v>365</v>
      </c>
      <c r="AK38" s="1" t="s">
        <v>365</v>
      </c>
      <c r="AL38" s="1"/>
      <c r="AM38" s="1" t="s">
        <v>375</v>
      </c>
      <c r="AN38" s="1"/>
    </row>
    <row r="39" spans="1:40" s="13" customFormat="1" ht="12" customHeight="1" x14ac:dyDescent="0.3">
      <c r="A39" s="8" t="s">
        <v>37</v>
      </c>
      <c r="B39" s="8" t="s">
        <v>38</v>
      </c>
      <c r="C39" s="8" t="s">
        <v>364</v>
      </c>
      <c r="D39" s="8" t="s">
        <v>39</v>
      </c>
      <c r="E39" s="8" t="s">
        <v>163</v>
      </c>
      <c r="F39" s="9">
        <v>179138</v>
      </c>
      <c r="G39" s="9">
        <v>1556717</v>
      </c>
      <c r="H39" s="9">
        <v>5094</v>
      </c>
      <c r="I39" s="8" t="s">
        <v>155</v>
      </c>
      <c r="J39" s="8" t="s">
        <v>164</v>
      </c>
      <c r="K39" s="8" t="s">
        <v>165</v>
      </c>
      <c r="L39" s="8" t="s">
        <v>54</v>
      </c>
      <c r="M39" s="8" t="s">
        <v>166</v>
      </c>
      <c r="N39" s="8" t="s">
        <v>54</v>
      </c>
      <c r="O39" s="15">
        <v>80314</v>
      </c>
      <c r="P39" s="15">
        <v>80389</v>
      </c>
      <c r="Q39" s="15">
        <f t="shared" si="0"/>
        <v>75</v>
      </c>
      <c r="R39" s="6">
        <v>100</v>
      </c>
      <c r="S39" s="2" t="str">
        <f t="shared" si="1"/>
        <v>0</v>
      </c>
      <c r="T39" s="2">
        <v>0</v>
      </c>
      <c r="U39" s="3">
        <v>46162.777777777781</v>
      </c>
      <c r="V39" s="3">
        <v>46162.777777777781</v>
      </c>
      <c r="W39" s="3" t="b">
        <f t="shared" si="17"/>
        <v>1</v>
      </c>
      <c r="X39" s="3">
        <v>46162.902777777781</v>
      </c>
      <c r="Y39" s="4">
        <f t="shared" si="14"/>
        <v>0.125</v>
      </c>
      <c r="Z39" s="7">
        <v>0.125</v>
      </c>
      <c r="AA39" s="4">
        <f t="shared" si="3"/>
        <v>0</v>
      </c>
      <c r="AB39" s="19">
        <v>145</v>
      </c>
      <c r="AC39" s="19">
        <v>6.9</v>
      </c>
      <c r="AD39" s="20">
        <f t="shared" si="4"/>
        <v>0</v>
      </c>
      <c r="AE39" s="20">
        <f t="shared" si="15"/>
        <v>0</v>
      </c>
      <c r="AF39" s="20">
        <f t="shared" si="16"/>
        <v>0</v>
      </c>
      <c r="AG39" s="19">
        <v>690</v>
      </c>
      <c r="AH39" s="20">
        <v>13.7</v>
      </c>
      <c r="AI39" s="20">
        <f t="shared" si="7"/>
        <v>703.7</v>
      </c>
      <c r="AJ39" s="1" t="s">
        <v>365</v>
      </c>
      <c r="AK39" s="1" t="s">
        <v>365</v>
      </c>
      <c r="AL39" s="1"/>
      <c r="AM39" s="1" t="s">
        <v>375</v>
      </c>
      <c r="AN39" s="1"/>
    </row>
    <row r="40" spans="1:40" s="13" customFormat="1" ht="12" customHeight="1" x14ac:dyDescent="0.3">
      <c r="A40" s="8" t="s">
        <v>37</v>
      </c>
      <c r="B40" s="8" t="s">
        <v>38</v>
      </c>
      <c r="C40" s="8" t="s">
        <v>364</v>
      </c>
      <c r="D40" s="8" t="s">
        <v>39</v>
      </c>
      <c r="E40" s="8" t="s">
        <v>40</v>
      </c>
      <c r="F40" s="9">
        <v>179147</v>
      </c>
      <c r="G40" s="9">
        <v>1556804.1556804001</v>
      </c>
      <c r="H40" s="9">
        <v>5104</v>
      </c>
      <c r="I40" s="8" t="s">
        <v>167</v>
      </c>
      <c r="J40" s="8" t="s">
        <v>168</v>
      </c>
      <c r="K40" s="8" t="s">
        <v>169</v>
      </c>
      <c r="L40" s="8" t="s">
        <v>44</v>
      </c>
      <c r="M40" s="8" t="s">
        <v>170</v>
      </c>
      <c r="N40" s="8" t="s">
        <v>44</v>
      </c>
      <c r="O40" s="15">
        <v>311961</v>
      </c>
      <c r="P40" s="15">
        <v>311994</v>
      </c>
      <c r="Q40" s="15">
        <f t="shared" si="0"/>
        <v>33</v>
      </c>
      <c r="R40" s="6">
        <v>100</v>
      </c>
      <c r="S40" s="2" t="str">
        <f t="shared" si="1"/>
        <v>0</v>
      </c>
      <c r="T40" s="2">
        <v>0</v>
      </c>
      <c r="U40" s="3">
        <v>46163.3125</v>
      </c>
      <c r="V40" s="3">
        <v>46163.3125</v>
      </c>
      <c r="W40" s="3" t="b">
        <f t="shared" ref="W40:W41" si="18">U40=V40</f>
        <v>1</v>
      </c>
      <c r="X40" s="3">
        <v>46163.4375</v>
      </c>
      <c r="Y40" s="4">
        <f t="shared" si="14"/>
        <v>0.125</v>
      </c>
      <c r="Z40" s="7">
        <v>0.125</v>
      </c>
      <c r="AA40" s="4">
        <f t="shared" si="3"/>
        <v>0</v>
      </c>
      <c r="AB40" s="19">
        <v>145</v>
      </c>
      <c r="AC40" s="19">
        <v>7.35</v>
      </c>
      <c r="AD40" s="20">
        <f t="shared" si="4"/>
        <v>0</v>
      </c>
      <c r="AE40" s="20">
        <f t="shared" si="15"/>
        <v>0</v>
      </c>
      <c r="AF40" s="20">
        <f t="shared" si="16"/>
        <v>0</v>
      </c>
      <c r="AG40" s="19">
        <v>735</v>
      </c>
      <c r="AH40" s="20">
        <v>0</v>
      </c>
      <c r="AI40" s="20">
        <f t="shared" si="7"/>
        <v>735</v>
      </c>
      <c r="AJ40" s="1" t="s">
        <v>365</v>
      </c>
      <c r="AK40" s="1" t="s">
        <v>365</v>
      </c>
      <c r="AL40" s="1"/>
      <c r="AM40" s="1" t="s">
        <v>375</v>
      </c>
      <c r="AN40" s="1"/>
    </row>
    <row r="41" spans="1:40" s="13" customFormat="1" ht="12" customHeight="1" x14ac:dyDescent="0.3">
      <c r="A41" s="8" t="s">
        <v>37</v>
      </c>
      <c r="B41" s="8" t="s">
        <v>38</v>
      </c>
      <c r="C41" s="8" t="s">
        <v>364</v>
      </c>
      <c r="D41" s="8" t="s">
        <v>83</v>
      </c>
      <c r="E41" s="8" t="s">
        <v>50</v>
      </c>
      <c r="F41" s="9">
        <v>179182</v>
      </c>
      <c r="G41" s="9">
        <v>1556625.1556625001</v>
      </c>
      <c r="H41" s="9">
        <v>5116</v>
      </c>
      <c r="I41" s="8" t="s">
        <v>155</v>
      </c>
      <c r="J41" s="8" t="s">
        <v>104</v>
      </c>
      <c r="K41" s="8" t="s">
        <v>53</v>
      </c>
      <c r="L41" s="8" t="s">
        <v>54</v>
      </c>
      <c r="M41" s="8" t="s">
        <v>55</v>
      </c>
      <c r="N41" s="8" t="s">
        <v>42</v>
      </c>
      <c r="O41" s="15">
        <v>0</v>
      </c>
      <c r="P41" s="15">
        <v>0</v>
      </c>
      <c r="Q41" s="15">
        <f t="shared" si="0"/>
        <v>0</v>
      </c>
      <c r="R41" s="6">
        <v>100</v>
      </c>
      <c r="S41" s="2" t="str">
        <f t="shared" si="1"/>
        <v>0</v>
      </c>
      <c r="T41" s="2">
        <v>0</v>
      </c>
      <c r="U41" s="3">
        <v>46163.083333333336</v>
      </c>
      <c r="V41" s="3">
        <v>46163.083333333336</v>
      </c>
      <c r="W41" s="3" t="b">
        <f t="shared" si="18"/>
        <v>1</v>
      </c>
      <c r="X41" s="3">
        <v>46163.34375</v>
      </c>
      <c r="Y41" s="4">
        <f t="shared" si="14"/>
        <v>0.26041666666424135</v>
      </c>
      <c r="Z41" s="7">
        <v>0.125</v>
      </c>
      <c r="AA41" s="4">
        <f t="shared" si="3"/>
        <v>0.13541666666424135</v>
      </c>
      <c r="AB41" s="19">
        <v>145</v>
      </c>
      <c r="AC41" s="19">
        <v>6.9</v>
      </c>
      <c r="AD41" s="20">
        <f t="shared" si="4"/>
        <v>471.24999999155989</v>
      </c>
      <c r="AE41" s="20">
        <f t="shared" si="15"/>
        <v>0</v>
      </c>
      <c r="AF41" s="20">
        <f t="shared" si="16"/>
        <v>0</v>
      </c>
      <c r="AG41" s="19">
        <v>690</v>
      </c>
      <c r="AH41" s="20">
        <v>0</v>
      </c>
      <c r="AI41" s="20">
        <f t="shared" si="7"/>
        <v>1161.2499999915599</v>
      </c>
      <c r="AJ41" s="1" t="s">
        <v>58</v>
      </c>
      <c r="AK41" s="1"/>
      <c r="AL41" s="1"/>
      <c r="AM41" s="1" t="s">
        <v>365</v>
      </c>
      <c r="AN41" s="1"/>
    </row>
    <row r="42" spans="1:40" s="13" customFormat="1" ht="12" customHeight="1" x14ac:dyDescent="0.3">
      <c r="A42" s="8" t="s">
        <v>37</v>
      </c>
      <c r="B42" s="8" t="s">
        <v>38</v>
      </c>
      <c r="C42" s="8" t="s">
        <v>364</v>
      </c>
      <c r="D42" s="8" t="s">
        <v>39</v>
      </c>
      <c r="E42" s="8" t="s">
        <v>87</v>
      </c>
      <c r="F42" s="9">
        <v>179187</v>
      </c>
      <c r="G42" s="9">
        <v>1557270.155727</v>
      </c>
      <c r="H42" s="9">
        <v>5117</v>
      </c>
      <c r="I42" s="8" t="s">
        <v>171</v>
      </c>
      <c r="J42" s="8" t="s">
        <v>172</v>
      </c>
      <c r="K42" s="8" t="s">
        <v>96</v>
      </c>
      <c r="L42" s="8" t="s">
        <v>54</v>
      </c>
      <c r="M42" s="8" t="s">
        <v>138</v>
      </c>
      <c r="N42" s="8" t="s">
        <v>54</v>
      </c>
      <c r="O42" s="15">
        <v>283520</v>
      </c>
      <c r="P42" s="15">
        <v>283588</v>
      </c>
      <c r="Q42" s="15">
        <f t="shared" si="0"/>
        <v>68</v>
      </c>
      <c r="R42" s="6">
        <v>100</v>
      </c>
      <c r="S42" s="2" t="str">
        <f t="shared" si="1"/>
        <v>0</v>
      </c>
      <c r="T42" s="2">
        <v>0</v>
      </c>
      <c r="U42" s="3">
        <v>46163.208333333336</v>
      </c>
      <c r="V42" s="3">
        <v>46163.208333333336</v>
      </c>
      <c r="W42" s="3" t="b">
        <f>V42=U42</f>
        <v>1</v>
      </c>
      <c r="X42" s="3">
        <v>46163.363888888889</v>
      </c>
      <c r="Y42" s="4">
        <f t="shared" si="14"/>
        <v>0.15555555555329192</v>
      </c>
      <c r="Z42" s="7">
        <v>0.125</v>
      </c>
      <c r="AA42" s="4">
        <f t="shared" si="3"/>
        <v>3.0555555553291924E-2</v>
      </c>
      <c r="AB42" s="19">
        <v>145</v>
      </c>
      <c r="AC42" s="19">
        <v>6.9</v>
      </c>
      <c r="AD42" s="20">
        <f t="shared" si="4"/>
        <v>106.3333333254559</v>
      </c>
      <c r="AE42" s="20">
        <f t="shared" si="15"/>
        <v>0</v>
      </c>
      <c r="AF42" s="20">
        <f t="shared" si="16"/>
        <v>0</v>
      </c>
      <c r="AG42" s="19">
        <v>690</v>
      </c>
      <c r="AH42" s="20">
        <v>5.9</v>
      </c>
      <c r="AI42" s="20">
        <f t="shared" si="7"/>
        <v>802.23333332545587</v>
      </c>
      <c r="AJ42" s="1" t="s">
        <v>365</v>
      </c>
      <c r="AK42" s="1" t="s">
        <v>365</v>
      </c>
      <c r="AL42" s="1"/>
      <c r="AM42" s="1" t="s">
        <v>375</v>
      </c>
      <c r="AN42" s="1"/>
    </row>
    <row r="43" spans="1:40" s="13" customFormat="1" ht="12" customHeight="1" x14ac:dyDescent="0.3">
      <c r="A43" s="8" t="s">
        <v>37</v>
      </c>
      <c r="B43" s="8" t="s">
        <v>38</v>
      </c>
      <c r="C43" s="8" t="s">
        <v>364</v>
      </c>
      <c r="D43" s="8" t="s">
        <v>83</v>
      </c>
      <c r="E43" s="8" t="s">
        <v>173</v>
      </c>
      <c r="F43" s="9">
        <v>179202</v>
      </c>
      <c r="G43" s="9">
        <v>1557759</v>
      </c>
      <c r="H43" s="9">
        <v>5123</v>
      </c>
      <c r="I43" s="8" t="s">
        <v>174</v>
      </c>
      <c r="J43" s="8" t="s">
        <v>175</v>
      </c>
      <c r="K43" s="8" t="s">
        <v>176</v>
      </c>
      <c r="L43" s="8" t="s">
        <v>86</v>
      </c>
      <c r="M43" s="8" t="s">
        <v>177</v>
      </c>
      <c r="N43" s="8" t="s">
        <v>77</v>
      </c>
      <c r="O43" s="15">
        <v>0</v>
      </c>
      <c r="P43" s="15">
        <v>0</v>
      </c>
      <c r="Q43" s="15">
        <f t="shared" si="0"/>
        <v>0</v>
      </c>
      <c r="R43" s="6">
        <v>100</v>
      </c>
      <c r="S43" s="2" t="str">
        <f t="shared" si="1"/>
        <v>0</v>
      </c>
      <c r="T43" s="2">
        <v>0</v>
      </c>
      <c r="U43" s="3">
        <v>46163.541666666664</v>
      </c>
      <c r="V43" s="3">
        <v>46163.541666666664</v>
      </c>
      <c r="W43" s="3" t="b">
        <f>U43=V43</f>
        <v>1</v>
      </c>
      <c r="X43" s="3">
        <v>46163.747916666667</v>
      </c>
      <c r="Y43" s="4">
        <f t="shared" si="14"/>
        <v>0.20625000000291038</v>
      </c>
      <c r="Z43" s="7">
        <v>0.125</v>
      </c>
      <c r="AA43" s="4">
        <f t="shared" si="3"/>
        <v>8.1250000002910383E-2</v>
      </c>
      <c r="AB43" s="19">
        <v>145</v>
      </c>
      <c r="AC43" s="19">
        <v>6.9</v>
      </c>
      <c r="AD43" s="20">
        <f t="shared" si="4"/>
        <v>282.75000001012813</v>
      </c>
      <c r="AE43" s="20">
        <f t="shared" si="15"/>
        <v>0</v>
      </c>
      <c r="AF43" s="20">
        <f t="shared" si="16"/>
        <v>0</v>
      </c>
      <c r="AG43" s="19">
        <v>690</v>
      </c>
      <c r="AH43" s="20">
        <v>0</v>
      </c>
      <c r="AI43" s="20">
        <f t="shared" si="7"/>
        <v>972.75000001012813</v>
      </c>
      <c r="AJ43" s="1" t="s">
        <v>58</v>
      </c>
      <c r="AK43" s="1"/>
      <c r="AL43" s="1"/>
      <c r="AM43" s="1" t="s">
        <v>365</v>
      </c>
      <c r="AN43" s="1"/>
    </row>
    <row r="44" spans="1:40" s="13" customFormat="1" ht="12" customHeight="1" x14ac:dyDescent="0.3">
      <c r="A44" s="8" t="s">
        <v>37</v>
      </c>
      <c r="B44" s="8" t="s">
        <v>38</v>
      </c>
      <c r="C44" s="8" t="s">
        <v>364</v>
      </c>
      <c r="D44" s="8" t="s">
        <v>39</v>
      </c>
      <c r="E44" s="8" t="s">
        <v>178</v>
      </c>
      <c r="F44" s="9">
        <v>179204</v>
      </c>
      <c r="G44" s="9">
        <v>1557942</v>
      </c>
      <c r="H44" s="9">
        <v>5124</v>
      </c>
      <c r="I44" s="8" t="s">
        <v>100</v>
      </c>
      <c r="J44" s="8" t="s">
        <v>179</v>
      </c>
      <c r="K44" s="8" t="s">
        <v>180</v>
      </c>
      <c r="L44" s="8" t="s">
        <v>54</v>
      </c>
      <c r="M44" s="8" t="s">
        <v>59</v>
      </c>
      <c r="N44" s="8" t="s">
        <v>54</v>
      </c>
      <c r="O44" s="15">
        <v>143399</v>
      </c>
      <c r="P44" s="15">
        <v>143504</v>
      </c>
      <c r="Q44" s="15">
        <f t="shared" si="0"/>
        <v>105</v>
      </c>
      <c r="R44" s="6">
        <v>100</v>
      </c>
      <c r="S44" s="2">
        <f t="shared" si="1"/>
        <v>5</v>
      </c>
      <c r="T44" s="2">
        <v>0</v>
      </c>
      <c r="U44" s="3">
        <v>46163.541666666664</v>
      </c>
      <c r="V44" s="3">
        <v>46163.541666666664</v>
      </c>
      <c r="W44" s="3" t="b">
        <f>V44=U44</f>
        <v>1</v>
      </c>
      <c r="X44" s="3">
        <v>46163.666666666672</v>
      </c>
      <c r="Y44" s="4">
        <f t="shared" si="14"/>
        <v>0.12500000000727596</v>
      </c>
      <c r="Z44" s="7">
        <v>0.125</v>
      </c>
      <c r="AA44" s="4">
        <f t="shared" si="3"/>
        <v>7.2759576141834259E-12</v>
      </c>
      <c r="AB44" s="19">
        <v>145</v>
      </c>
      <c r="AC44" s="19">
        <v>6.9</v>
      </c>
      <c r="AD44" s="20">
        <f t="shared" si="4"/>
        <v>2.5320332497358322E-8</v>
      </c>
      <c r="AE44" s="20">
        <f t="shared" si="15"/>
        <v>34.5</v>
      </c>
      <c r="AF44" s="20">
        <f t="shared" si="16"/>
        <v>0</v>
      </c>
      <c r="AG44" s="19">
        <v>690</v>
      </c>
      <c r="AH44" s="20">
        <v>25</v>
      </c>
      <c r="AI44" s="20">
        <f t="shared" si="7"/>
        <v>749.50000002532033</v>
      </c>
      <c r="AJ44" s="1" t="s">
        <v>365</v>
      </c>
      <c r="AK44" s="1" t="s">
        <v>365</v>
      </c>
      <c r="AL44" s="1"/>
      <c r="AM44" s="1" t="s">
        <v>375</v>
      </c>
      <c r="AN44" s="1"/>
    </row>
    <row r="45" spans="1:40" s="13" customFormat="1" ht="12" customHeight="1" x14ac:dyDescent="0.3">
      <c r="A45" s="8" t="s">
        <v>37</v>
      </c>
      <c r="B45" s="8" t="s">
        <v>38</v>
      </c>
      <c r="C45" s="8" t="s">
        <v>364</v>
      </c>
      <c r="D45" s="8" t="s">
        <v>39</v>
      </c>
      <c r="E45" s="8" t="s">
        <v>181</v>
      </c>
      <c r="F45" s="9">
        <v>179205</v>
      </c>
      <c r="G45" s="9">
        <v>1557740</v>
      </c>
      <c r="H45" s="9">
        <v>5127</v>
      </c>
      <c r="I45" s="8" t="s">
        <v>139</v>
      </c>
      <c r="J45" s="8" t="s">
        <v>182</v>
      </c>
      <c r="K45" s="8" t="s">
        <v>183</v>
      </c>
      <c r="L45" s="8" t="s">
        <v>77</v>
      </c>
      <c r="M45" s="8" t="s">
        <v>184</v>
      </c>
      <c r="N45" s="8" t="s">
        <v>42</v>
      </c>
      <c r="O45" s="15">
        <v>251428</v>
      </c>
      <c r="P45" s="15">
        <v>251443</v>
      </c>
      <c r="Q45" s="15">
        <f t="shared" si="0"/>
        <v>15</v>
      </c>
      <c r="R45" s="6">
        <v>100</v>
      </c>
      <c r="S45" s="2" t="str">
        <f t="shared" si="1"/>
        <v>0</v>
      </c>
      <c r="T45" s="2">
        <v>0</v>
      </c>
      <c r="U45" s="3">
        <v>46163.541666666664</v>
      </c>
      <c r="V45" s="3">
        <v>46163.545138888891</v>
      </c>
      <c r="W45" s="3" t="b">
        <f t="shared" ref="W45:W46" si="19">U45=V45</f>
        <v>0</v>
      </c>
      <c r="X45" s="3">
        <v>46163.666666666672</v>
      </c>
      <c r="Y45" s="4">
        <f t="shared" si="14"/>
        <v>0.12500000000727596</v>
      </c>
      <c r="Z45" s="7">
        <v>0.125</v>
      </c>
      <c r="AA45" s="4">
        <f t="shared" si="3"/>
        <v>7.2759576141834259E-12</v>
      </c>
      <c r="AB45" s="19">
        <v>145</v>
      </c>
      <c r="AC45" s="19">
        <v>7.35</v>
      </c>
      <c r="AD45" s="20">
        <f t="shared" si="4"/>
        <v>2.5320332497358322E-8</v>
      </c>
      <c r="AE45" s="20">
        <f t="shared" si="15"/>
        <v>0</v>
      </c>
      <c r="AF45" s="20">
        <f t="shared" si="16"/>
        <v>0</v>
      </c>
      <c r="AG45" s="19">
        <v>735</v>
      </c>
      <c r="AH45" s="20">
        <v>0</v>
      </c>
      <c r="AI45" s="20">
        <f t="shared" si="7"/>
        <v>735.00000002532033</v>
      </c>
      <c r="AJ45" s="1" t="s">
        <v>365</v>
      </c>
      <c r="AK45" s="1" t="s">
        <v>365</v>
      </c>
      <c r="AL45" s="1"/>
      <c r="AM45" s="1" t="s">
        <v>370</v>
      </c>
      <c r="AN45" s="1"/>
    </row>
    <row r="46" spans="1:40" s="13" customFormat="1" ht="12" customHeight="1" x14ac:dyDescent="0.3">
      <c r="A46" s="8" t="s">
        <v>37</v>
      </c>
      <c r="B46" s="8" t="s">
        <v>38</v>
      </c>
      <c r="C46" s="8" t="s">
        <v>364</v>
      </c>
      <c r="D46" s="8" t="s">
        <v>39</v>
      </c>
      <c r="E46" s="8" t="s">
        <v>185</v>
      </c>
      <c r="F46" s="9">
        <v>179209</v>
      </c>
      <c r="G46" s="9">
        <v>1557837</v>
      </c>
      <c r="H46" s="9">
        <v>5128</v>
      </c>
      <c r="I46" s="8" t="s">
        <v>186</v>
      </c>
      <c r="J46" s="8" t="s">
        <v>187</v>
      </c>
      <c r="K46" s="8" t="s">
        <v>188</v>
      </c>
      <c r="L46" s="8" t="s">
        <v>189</v>
      </c>
      <c r="M46" s="8" t="s">
        <v>190</v>
      </c>
      <c r="N46" s="8" t="s">
        <v>189</v>
      </c>
      <c r="O46" s="15">
        <v>227206</v>
      </c>
      <c r="P46" s="15">
        <v>227216</v>
      </c>
      <c r="Q46" s="15">
        <f t="shared" si="0"/>
        <v>10</v>
      </c>
      <c r="R46" s="6">
        <v>100</v>
      </c>
      <c r="S46" s="2" t="str">
        <f t="shared" si="1"/>
        <v>0</v>
      </c>
      <c r="T46" s="2">
        <v>0</v>
      </c>
      <c r="U46" s="3">
        <v>46163.597222222219</v>
      </c>
      <c r="V46" s="3">
        <v>46163.597222222219</v>
      </c>
      <c r="W46" s="3" t="b">
        <f t="shared" si="19"/>
        <v>1</v>
      </c>
      <c r="X46" s="3">
        <v>46163.722222222219</v>
      </c>
      <c r="Y46" s="4">
        <f t="shared" si="14"/>
        <v>0.125</v>
      </c>
      <c r="Z46" s="7">
        <v>0.125</v>
      </c>
      <c r="AA46" s="4">
        <f t="shared" si="3"/>
        <v>0</v>
      </c>
      <c r="AB46" s="19">
        <v>145</v>
      </c>
      <c r="AC46" s="19">
        <v>7.35</v>
      </c>
      <c r="AD46" s="20">
        <f t="shared" si="4"/>
        <v>0</v>
      </c>
      <c r="AE46" s="20">
        <f t="shared" si="15"/>
        <v>0</v>
      </c>
      <c r="AF46" s="20">
        <f t="shared" si="16"/>
        <v>0</v>
      </c>
      <c r="AG46" s="19">
        <v>735</v>
      </c>
      <c r="AH46" s="20">
        <v>0</v>
      </c>
      <c r="AI46" s="20">
        <f t="shared" si="7"/>
        <v>735</v>
      </c>
      <c r="AJ46" s="1" t="s">
        <v>365</v>
      </c>
      <c r="AK46" s="1" t="s">
        <v>365</v>
      </c>
      <c r="AL46" s="1" t="s">
        <v>365</v>
      </c>
      <c r="AM46" s="1" t="s">
        <v>367</v>
      </c>
      <c r="AN46" s="1"/>
    </row>
    <row r="47" spans="1:40" s="13" customFormat="1" ht="12" customHeight="1" x14ac:dyDescent="0.3">
      <c r="A47" s="8" t="s">
        <v>37</v>
      </c>
      <c r="B47" s="8" t="s">
        <v>38</v>
      </c>
      <c r="C47" s="8" t="s">
        <v>364</v>
      </c>
      <c r="D47" s="8" t="s">
        <v>39</v>
      </c>
      <c r="E47" s="8" t="s">
        <v>191</v>
      </c>
      <c r="F47" s="9">
        <v>179227</v>
      </c>
      <c r="G47" s="9">
        <v>1559092</v>
      </c>
      <c r="H47" s="9">
        <v>5133</v>
      </c>
      <c r="I47" s="8" t="s">
        <v>192</v>
      </c>
      <c r="J47" s="8" t="s">
        <v>193</v>
      </c>
      <c r="K47" s="8" t="s">
        <v>194</v>
      </c>
      <c r="L47" s="8" t="s">
        <v>195</v>
      </c>
      <c r="M47" s="8" t="s">
        <v>196</v>
      </c>
      <c r="N47" s="8" t="s">
        <v>195</v>
      </c>
      <c r="O47" s="15">
        <v>74432</v>
      </c>
      <c r="P47" s="15">
        <v>74451</v>
      </c>
      <c r="Q47" s="15">
        <f t="shared" si="0"/>
        <v>19</v>
      </c>
      <c r="R47" s="6">
        <v>100</v>
      </c>
      <c r="S47" s="2" t="str">
        <f t="shared" si="1"/>
        <v>0</v>
      </c>
      <c r="T47" s="2">
        <v>0</v>
      </c>
      <c r="U47" s="3">
        <v>46164.333333333336</v>
      </c>
      <c r="V47" s="3">
        <v>46164.333333333336</v>
      </c>
      <c r="W47" s="3" t="b">
        <f>V47=U47</f>
        <v>1</v>
      </c>
      <c r="X47" s="3">
        <v>46164.458333333328</v>
      </c>
      <c r="Y47" s="4">
        <f t="shared" si="14"/>
        <v>0.12499999999272404</v>
      </c>
      <c r="Z47" s="7">
        <v>0.125</v>
      </c>
      <c r="AA47" s="4" t="str">
        <f t="shared" si="3"/>
        <v>00:00:00</v>
      </c>
      <c r="AB47" s="19">
        <v>145</v>
      </c>
      <c r="AC47" s="19">
        <v>6.9</v>
      </c>
      <c r="AD47" s="20">
        <f t="shared" si="4"/>
        <v>0</v>
      </c>
      <c r="AE47" s="20">
        <f t="shared" si="15"/>
        <v>0</v>
      </c>
      <c r="AF47" s="20">
        <f t="shared" si="16"/>
        <v>0</v>
      </c>
      <c r="AG47" s="19">
        <v>690</v>
      </c>
      <c r="AH47" s="20">
        <v>0</v>
      </c>
      <c r="AI47" s="20">
        <f t="shared" si="7"/>
        <v>690</v>
      </c>
      <c r="AJ47" s="1" t="s">
        <v>365</v>
      </c>
      <c r="AK47" s="1" t="s">
        <v>365</v>
      </c>
      <c r="AL47" s="1"/>
      <c r="AM47" s="1" t="s">
        <v>375</v>
      </c>
      <c r="AN47" s="1"/>
    </row>
    <row r="48" spans="1:40" s="13" customFormat="1" ht="12" customHeight="1" x14ac:dyDescent="0.3">
      <c r="A48" s="8" t="s">
        <v>37</v>
      </c>
      <c r="B48" s="8" t="s">
        <v>38</v>
      </c>
      <c r="C48" s="8" t="s">
        <v>364</v>
      </c>
      <c r="D48" s="8" t="s">
        <v>39</v>
      </c>
      <c r="E48" s="8" t="s">
        <v>103</v>
      </c>
      <c r="F48" s="9">
        <v>179228</v>
      </c>
      <c r="G48" s="9">
        <v>1558002</v>
      </c>
      <c r="H48" s="9">
        <v>5134</v>
      </c>
      <c r="I48" s="8" t="s">
        <v>197</v>
      </c>
      <c r="J48" s="8" t="s">
        <v>198</v>
      </c>
      <c r="K48" s="8" t="s">
        <v>199</v>
      </c>
      <c r="L48" s="8" t="s">
        <v>44</v>
      </c>
      <c r="M48" s="8" t="s">
        <v>200</v>
      </c>
      <c r="N48" s="8" t="s">
        <v>54</v>
      </c>
      <c r="O48" s="15">
        <v>381005</v>
      </c>
      <c r="P48" s="15">
        <v>381624</v>
      </c>
      <c r="Q48" s="15">
        <f t="shared" si="0"/>
        <v>619</v>
      </c>
      <c r="R48" s="6">
        <v>600</v>
      </c>
      <c r="S48" s="2">
        <f t="shared" si="1"/>
        <v>19</v>
      </c>
      <c r="T48" s="2">
        <v>0</v>
      </c>
      <c r="U48" s="3">
        <v>46163.777777777781</v>
      </c>
      <c r="V48" s="3">
        <v>46163.760416666664</v>
      </c>
      <c r="W48" s="3" t="b">
        <f>U48=V48</f>
        <v>0</v>
      </c>
      <c r="X48" s="3">
        <v>46164.402777777781</v>
      </c>
      <c r="Y48" s="4">
        <f t="shared" si="14"/>
        <v>0.625</v>
      </c>
      <c r="Z48" s="7">
        <v>0.625</v>
      </c>
      <c r="AA48" s="4">
        <f t="shared" si="3"/>
        <v>0</v>
      </c>
      <c r="AB48" s="19">
        <v>145</v>
      </c>
      <c r="AC48" s="19">
        <v>7.35</v>
      </c>
      <c r="AD48" s="20">
        <f t="shared" si="4"/>
        <v>0</v>
      </c>
      <c r="AE48" s="20">
        <f t="shared" si="15"/>
        <v>139.65</v>
      </c>
      <c r="AF48" s="20">
        <f t="shared" si="16"/>
        <v>0</v>
      </c>
      <c r="AG48" s="19">
        <v>4410</v>
      </c>
      <c r="AH48" s="20">
        <v>60</v>
      </c>
      <c r="AI48" s="20">
        <f t="shared" si="7"/>
        <v>4609.6499999999996</v>
      </c>
      <c r="AJ48" s="1" t="s">
        <v>365</v>
      </c>
      <c r="AK48" s="1" t="s">
        <v>365</v>
      </c>
      <c r="AL48" s="1"/>
      <c r="AM48" s="1" t="s">
        <v>370</v>
      </c>
      <c r="AN48" s="1"/>
    </row>
    <row r="49" spans="1:40" s="13" customFormat="1" ht="12" customHeight="1" x14ac:dyDescent="0.3">
      <c r="A49" s="8" t="s">
        <v>37</v>
      </c>
      <c r="B49" s="8" t="s">
        <v>38</v>
      </c>
      <c r="C49" s="8" t="s">
        <v>364</v>
      </c>
      <c r="D49" s="8" t="s">
        <v>39</v>
      </c>
      <c r="E49" s="8" t="s">
        <v>87</v>
      </c>
      <c r="F49" s="9">
        <v>179230</v>
      </c>
      <c r="G49" s="9">
        <v>1558472.1558472</v>
      </c>
      <c r="H49" s="9">
        <v>5137</v>
      </c>
      <c r="I49" s="8" t="s">
        <v>201</v>
      </c>
      <c r="J49" s="8" t="s">
        <v>42</v>
      </c>
      <c r="K49" s="8" t="s">
        <v>108</v>
      </c>
      <c r="L49" s="8" t="s">
        <v>54</v>
      </c>
      <c r="M49" s="8" t="s">
        <v>59</v>
      </c>
      <c r="N49" s="8" t="s">
        <v>54</v>
      </c>
      <c r="O49" s="15">
        <v>14103</v>
      </c>
      <c r="P49" s="15">
        <v>14166</v>
      </c>
      <c r="Q49" s="15">
        <f t="shared" si="0"/>
        <v>63</v>
      </c>
      <c r="R49" s="6">
        <v>100</v>
      </c>
      <c r="S49" s="2" t="str">
        <f t="shared" si="1"/>
        <v>0</v>
      </c>
      <c r="T49" s="2">
        <v>0</v>
      </c>
      <c r="U49" s="3">
        <v>46163.916666666664</v>
      </c>
      <c r="V49" s="3">
        <v>46163.916666666664</v>
      </c>
      <c r="W49" s="3" t="b">
        <f>V49=U49</f>
        <v>1</v>
      </c>
      <c r="X49" s="3">
        <v>46164.041666666672</v>
      </c>
      <c r="Y49" s="4">
        <f t="shared" si="14"/>
        <v>0.12500000000727596</v>
      </c>
      <c r="Z49" s="7">
        <v>0.125</v>
      </c>
      <c r="AA49" s="4">
        <f t="shared" si="3"/>
        <v>7.2759576141834259E-12</v>
      </c>
      <c r="AB49" s="19">
        <v>145</v>
      </c>
      <c r="AC49" s="19">
        <v>6.9</v>
      </c>
      <c r="AD49" s="20">
        <f t="shared" si="4"/>
        <v>2.5320332497358322E-8</v>
      </c>
      <c r="AE49" s="20">
        <f t="shared" si="15"/>
        <v>0</v>
      </c>
      <c r="AF49" s="20">
        <f t="shared" si="16"/>
        <v>0</v>
      </c>
      <c r="AG49" s="19">
        <v>690</v>
      </c>
      <c r="AH49" s="20">
        <v>10.4</v>
      </c>
      <c r="AI49" s="20">
        <f t="shared" si="7"/>
        <v>700.40000002532031</v>
      </c>
      <c r="AJ49" s="1" t="s">
        <v>365</v>
      </c>
      <c r="AK49" s="1" t="s">
        <v>365</v>
      </c>
      <c r="AL49" s="1"/>
      <c r="AM49" s="1" t="s">
        <v>375</v>
      </c>
      <c r="AN49" s="1"/>
    </row>
    <row r="50" spans="1:40" s="13" customFormat="1" ht="12" customHeight="1" x14ac:dyDescent="0.3">
      <c r="A50" s="8" t="s">
        <v>37</v>
      </c>
      <c r="B50" s="8" t="s">
        <v>38</v>
      </c>
      <c r="C50" s="8" t="s">
        <v>364</v>
      </c>
      <c r="D50" s="8" t="s">
        <v>39</v>
      </c>
      <c r="E50" s="8" t="s">
        <v>103</v>
      </c>
      <c r="F50" s="9">
        <v>179234</v>
      </c>
      <c r="G50" s="9">
        <v>1558002</v>
      </c>
      <c r="H50" s="9">
        <v>5135</v>
      </c>
      <c r="I50" s="8" t="s">
        <v>167</v>
      </c>
      <c r="J50" s="8" t="s">
        <v>198</v>
      </c>
      <c r="K50" s="8" t="s">
        <v>199</v>
      </c>
      <c r="L50" s="8" t="s">
        <v>44</v>
      </c>
      <c r="M50" s="8" t="s">
        <v>200</v>
      </c>
      <c r="N50" s="8" t="s">
        <v>54</v>
      </c>
      <c r="O50" s="15">
        <v>312192</v>
      </c>
      <c r="P50" s="15">
        <v>312810</v>
      </c>
      <c r="Q50" s="15">
        <f t="shared" si="0"/>
        <v>618</v>
      </c>
      <c r="R50" s="6">
        <v>600</v>
      </c>
      <c r="S50" s="2">
        <f t="shared" si="1"/>
        <v>18</v>
      </c>
      <c r="T50" s="2">
        <v>0</v>
      </c>
      <c r="U50" s="3">
        <v>46163.777777777781</v>
      </c>
      <c r="V50" s="3">
        <v>46163.777777777781</v>
      </c>
      <c r="W50" s="3" t="b">
        <f t="shared" ref="W50:W51" si="20">U50=V50</f>
        <v>1</v>
      </c>
      <c r="X50" s="3">
        <v>46164.402777777781</v>
      </c>
      <c r="Y50" s="4">
        <f t="shared" si="14"/>
        <v>0.625</v>
      </c>
      <c r="Z50" s="7">
        <v>0.625</v>
      </c>
      <c r="AA50" s="4">
        <f t="shared" si="3"/>
        <v>0</v>
      </c>
      <c r="AB50" s="19">
        <v>145</v>
      </c>
      <c r="AC50" s="19">
        <v>7.35</v>
      </c>
      <c r="AD50" s="20">
        <f t="shared" si="4"/>
        <v>0</v>
      </c>
      <c r="AE50" s="20">
        <f t="shared" si="15"/>
        <v>132.29999999999998</v>
      </c>
      <c r="AF50" s="20">
        <f t="shared" si="16"/>
        <v>0</v>
      </c>
      <c r="AG50" s="19">
        <v>4410</v>
      </c>
      <c r="AH50" s="20">
        <v>60</v>
      </c>
      <c r="AI50" s="20">
        <f t="shared" si="7"/>
        <v>4602.3</v>
      </c>
      <c r="AJ50" s="1" t="s">
        <v>365</v>
      </c>
      <c r="AK50" s="1" t="s">
        <v>365</v>
      </c>
      <c r="AL50" s="1"/>
      <c r="AM50" s="1" t="s">
        <v>382</v>
      </c>
      <c r="AN50" s="1"/>
    </row>
    <row r="51" spans="1:40" s="13" customFormat="1" ht="12" customHeight="1" x14ac:dyDescent="0.3">
      <c r="A51" s="8" t="s">
        <v>37</v>
      </c>
      <c r="B51" s="8" t="s">
        <v>38</v>
      </c>
      <c r="C51" s="8" t="s">
        <v>364</v>
      </c>
      <c r="D51" s="8" t="s">
        <v>83</v>
      </c>
      <c r="E51" s="8" t="s">
        <v>202</v>
      </c>
      <c r="F51" s="9">
        <v>179236</v>
      </c>
      <c r="G51" s="8" t="s">
        <v>42</v>
      </c>
      <c r="H51" s="9">
        <v>5136</v>
      </c>
      <c r="I51" s="8" t="s">
        <v>203</v>
      </c>
      <c r="J51" s="8" t="s">
        <v>42</v>
      </c>
      <c r="K51" s="8" t="s">
        <v>204</v>
      </c>
      <c r="L51" s="8" t="s">
        <v>86</v>
      </c>
      <c r="M51" s="8" t="s">
        <v>114</v>
      </c>
      <c r="N51" s="8" t="s">
        <v>42</v>
      </c>
      <c r="O51" s="15">
        <v>0</v>
      </c>
      <c r="P51" s="15">
        <v>0</v>
      </c>
      <c r="Q51" s="15">
        <f t="shared" si="0"/>
        <v>0</v>
      </c>
      <c r="R51" s="6">
        <v>100</v>
      </c>
      <c r="S51" s="2" t="str">
        <f t="shared" si="1"/>
        <v>0</v>
      </c>
      <c r="T51" s="2">
        <v>0</v>
      </c>
      <c r="U51" s="3">
        <v>46163.790972222225</v>
      </c>
      <c r="V51" s="3">
        <v>46163.790972222225</v>
      </c>
      <c r="W51" s="3" t="b">
        <f t="shared" si="20"/>
        <v>1</v>
      </c>
      <c r="X51" s="3">
        <v>46163.915972222225</v>
      </c>
      <c r="Y51" s="4">
        <f t="shared" si="14"/>
        <v>0.125</v>
      </c>
      <c r="Z51" s="7">
        <v>0.125</v>
      </c>
      <c r="AA51" s="4">
        <f t="shared" si="3"/>
        <v>0</v>
      </c>
      <c r="AB51" s="19">
        <v>145</v>
      </c>
      <c r="AC51" s="19">
        <v>6.9</v>
      </c>
      <c r="AD51" s="20">
        <f t="shared" si="4"/>
        <v>0</v>
      </c>
      <c r="AE51" s="20">
        <f t="shared" si="15"/>
        <v>0</v>
      </c>
      <c r="AF51" s="20">
        <f t="shared" si="16"/>
        <v>0</v>
      </c>
      <c r="AG51" s="19">
        <v>690</v>
      </c>
      <c r="AH51" s="20">
        <v>0</v>
      </c>
      <c r="AI51" s="20">
        <f t="shared" si="7"/>
        <v>690</v>
      </c>
      <c r="AJ51" s="1" t="s">
        <v>58</v>
      </c>
      <c r="AK51" s="1"/>
      <c r="AL51" s="1"/>
      <c r="AM51" s="1" t="s">
        <v>365</v>
      </c>
      <c r="AN51" s="1"/>
    </row>
    <row r="52" spans="1:40" s="13" customFormat="1" ht="12" customHeight="1" x14ac:dyDescent="0.3">
      <c r="A52" s="8" t="s">
        <v>37</v>
      </c>
      <c r="B52" s="8" t="s">
        <v>38</v>
      </c>
      <c r="C52" s="8" t="s">
        <v>364</v>
      </c>
      <c r="D52" s="8" t="s">
        <v>39</v>
      </c>
      <c r="E52" s="8" t="s">
        <v>205</v>
      </c>
      <c r="F52" s="9">
        <v>179237</v>
      </c>
      <c r="G52" s="9">
        <v>1558973.1558973</v>
      </c>
      <c r="H52" s="9">
        <v>5140</v>
      </c>
      <c r="I52" s="8" t="s">
        <v>206</v>
      </c>
      <c r="J52" s="8" t="s">
        <v>207</v>
      </c>
      <c r="K52" s="8" t="s">
        <v>208</v>
      </c>
      <c r="L52" s="8" t="s">
        <v>209</v>
      </c>
      <c r="M52" s="8" t="s">
        <v>210</v>
      </c>
      <c r="N52" s="8" t="s">
        <v>209</v>
      </c>
      <c r="O52" s="15">
        <v>19921</v>
      </c>
      <c r="P52" s="15">
        <v>19942</v>
      </c>
      <c r="Q52" s="15">
        <f t="shared" si="0"/>
        <v>21</v>
      </c>
      <c r="R52" s="6">
        <v>100</v>
      </c>
      <c r="S52" s="2" t="str">
        <f t="shared" si="1"/>
        <v>0</v>
      </c>
      <c r="T52" s="2">
        <v>0</v>
      </c>
      <c r="U52" s="3">
        <v>46164.291666666664</v>
      </c>
      <c r="V52" s="3">
        <v>46164.291666666664</v>
      </c>
      <c r="W52" s="3" t="b">
        <f t="shared" ref="W52:W55" si="21">V52=U52</f>
        <v>1</v>
      </c>
      <c r="X52" s="3">
        <v>46164.416666666672</v>
      </c>
      <c r="Y52" s="4">
        <f t="shared" si="14"/>
        <v>0.12500000000727596</v>
      </c>
      <c r="Z52" s="7">
        <v>0.125</v>
      </c>
      <c r="AA52" s="4">
        <f t="shared" si="3"/>
        <v>7.2759576141834259E-12</v>
      </c>
      <c r="AB52" s="19">
        <v>145</v>
      </c>
      <c r="AC52" s="19">
        <v>6.9</v>
      </c>
      <c r="AD52" s="20">
        <f t="shared" si="4"/>
        <v>2.5320332497358322E-8</v>
      </c>
      <c r="AE52" s="20">
        <f t="shared" si="15"/>
        <v>0</v>
      </c>
      <c r="AF52" s="20">
        <f t="shared" si="16"/>
        <v>0</v>
      </c>
      <c r="AG52" s="19">
        <v>690</v>
      </c>
      <c r="AH52" s="20">
        <v>7.7</v>
      </c>
      <c r="AI52" s="20">
        <f t="shared" si="7"/>
        <v>697.70000002532038</v>
      </c>
      <c r="AJ52" s="1" t="s">
        <v>365</v>
      </c>
      <c r="AK52" s="1" t="s">
        <v>365</v>
      </c>
      <c r="AL52" s="1"/>
      <c r="AM52" s="1" t="s">
        <v>375</v>
      </c>
      <c r="AN52" s="1"/>
    </row>
    <row r="53" spans="1:40" s="13" customFormat="1" ht="12" customHeight="1" x14ac:dyDescent="0.3">
      <c r="A53" s="8" t="s">
        <v>37</v>
      </c>
      <c r="B53" s="8" t="s">
        <v>38</v>
      </c>
      <c r="C53" s="8" t="s">
        <v>364</v>
      </c>
      <c r="D53" s="8" t="s">
        <v>39</v>
      </c>
      <c r="E53" s="8" t="s">
        <v>211</v>
      </c>
      <c r="F53" s="9">
        <v>179239</v>
      </c>
      <c r="G53" s="9">
        <v>1558037</v>
      </c>
      <c r="H53" s="9">
        <v>5138</v>
      </c>
      <c r="I53" s="8" t="s">
        <v>136</v>
      </c>
      <c r="J53" s="8" t="s">
        <v>42</v>
      </c>
      <c r="K53" s="8" t="s">
        <v>212</v>
      </c>
      <c r="L53" s="8" t="s">
        <v>86</v>
      </c>
      <c r="M53" s="8" t="s">
        <v>133</v>
      </c>
      <c r="N53" s="8" t="s">
        <v>42</v>
      </c>
      <c r="O53" s="15">
        <v>65365</v>
      </c>
      <c r="P53" s="15">
        <v>65505</v>
      </c>
      <c r="Q53" s="15">
        <f t="shared" si="0"/>
        <v>140</v>
      </c>
      <c r="R53" s="6">
        <v>100</v>
      </c>
      <c r="S53" s="2">
        <f t="shared" si="1"/>
        <v>40</v>
      </c>
      <c r="T53" s="2">
        <v>0</v>
      </c>
      <c r="U53" s="3">
        <v>46163.875</v>
      </c>
      <c r="V53" s="3">
        <v>46163.875</v>
      </c>
      <c r="W53" s="3" t="b">
        <f t="shared" si="21"/>
        <v>1</v>
      </c>
      <c r="X53" s="3">
        <v>46164</v>
      </c>
      <c r="Y53" s="4">
        <f t="shared" si="14"/>
        <v>0.125</v>
      </c>
      <c r="Z53" s="7">
        <v>0.125</v>
      </c>
      <c r="AA53" s="4">
        <f t="shared" si="3"/>
        <v>0</v>
      </c>
      <c r="AB53" s="19">
        <v>145</v>
      </c>
      <c r="AC53" s="19">
        <v>6.9</v>
      </c>
      <c r="AD53" s="20">
        <f t="shared" si="4"/>
        <v>0</v>
      </c>
      <c r="AE53" s="20">
        <f t="shared" si="15"/>
        <v>276</v>
      </c>
      <c r="AF53" s="20">
        <f t="shared" si="16"/>
        <v>0</v>
      </c>
      <c r="AG53" s="19">
        <v>690</v>
      </c>
      <c r="AH53" s="20">
        <v>25</v>
      </c>
      <c r="AI53" s="20">
        <f t="shared" si="7"/>
        <v>991</v>
      </c>
      <c r="AJ53" s="1" t="s">
        <v>365</v>
      </c>
      <c r="AK53" s="1" t="s">
        <v>365</v>
      </c>
      <c r="AL53" s="1"/>
      <c r="AM53" s="1" t="s">
        <v>375</v>
      </c>
      <c r="AN53" s="1"/>
    </row>
    <row r="54" spans="1:40" s="13" customFormat="1" ht="12" customHeight="1" x14ac:dyDescent="0.3">
      <c r="A54" s="8" t="s">
        <v>37</v>
      </c>
      <c r="B54" s="8" t="s">
        <v>38</v>
      </c>
      <c r="C54" s="8" t="s">
        <v>364</v>
      </c>
      <c r="D54" s="8" t="s">
        <v>39</v>
      </c>
      <c r="E54" s="8" t="s">
        <v>211</v>
      </c>
      <c r="F54" s="9">
        <v>179240</v>
      </c>
      <c r="G54" s="9">
        <v>1558427.1558427</v>
      </c>
      <c r="H54" s="9">
        <v>5139</v>
      </c>
      <c r="I54" s="8" t="s">
        <v>155</v>
      </c>
      <c r="J54" s="8" t="s">
        <v>42</v>
      </c>
      <c r="K54" s="8" t="s">
        <v>213</v>
      </c>
      <c r="L54" s="8" t="s">
        <v>42</v>
      </c>
      <c r="M54" s="8" t="s">
        <v>133</v>
      </c>
      <c r="N54" s="8" t="s">
        <v>42</v>
      </c>
      <c r="O54" s="15">
        <v>80635</v>
      </c>
      <c r="P54" s="15">
        <v>80757</v>
      </c>
      <c r="Q54" s="15">
        <f t="shared" si="0"/>
        <v>122</v>
      </c>
      <c r="R54" s="6">
        <v>100</v>
      </c>
      <c r="S54" s="2">
        <f t="shared" si="1"/>
        <v>22</v>
      </c>
      <c r="T54" s="2">
        <v>0</v>
      </c>
      <c r="U54" s="3">
        <v>46163.892361111109</v>
      </c>
      <c r="V54" s="3">
        <v>46163.892361111109</v>
      </c>
      <c r="W54" s="3" t="b">
        <f t="shared" si="21"/>
        <v>1</v>
      </c>
      <c r="X54" s="3">
        <v>46164.017361111109</v>
      </c>
      <c r="Y54" s="4">
        <f t="shared" si="14"/>
        <v>0.125</v>
      </c>
      <c r="Z54" s="7">
        <v>0.125</v>
      </c>
      <c r="AA54" s="4">
        <f t="shared" si="3"/>
        <v>0</v>
      </c>
      <c r="AB54" s="19">
        <v>145</v>
      </c>
      <c r="AC54" s="19">
        <v>6.9</v>
      </c>
      <c r="AD54" s="20">
        <f t="shared" si="4"/>
        <v>0</v>
      </c>
      <c r="AE54" s="20">
        <f t="shared" si="15"/>
        <v>151.80000000000001</v>
      </c>
      <c r="AF54" s="20">
        <f t="shared" si="16"/>
        <v>0</v>
      </c>
      <c r="AG54" s="19">
        <v>690</v>
      </c>
      <c r="AH54" s="20">
        <v>25</v>
      </c>
      <c r="AI54" s="20">
        <f t="shared" si="7"/>
        <v>866.8</v>
      </c>
      <c r="AJ54" s="1" t="s">
        <v>365</v>
      </c>
      <c r="AK54" s="1" t="s">
        <v>365</v>
      </c>
      <c r="AL54" s="1"/>
      <c r="AM54" s="1" t="s">
        <v>375</v>
      </c>
      <c r="AN54" s="1"/>
    </row>
    <row r="55" spans="1:40" s="13" customFormat="1" ht="12" customHeight="1" x14ac:dyDescent="0.3">
      <c r="A55" s="8" t="s">
        <v>37</v>
      </c>
      <c r="B55" s="8" t="s">
        <v>38</v>
      </c>
      <c r="C55" s="8" t="s">
        <v>364</v>
      </c>
      <c r="D55" s="8" t="s">
        <v>39</v>
      </c>
      <c r="E55" s="8" t="s">
        <v>87</v>
      </c>
      <c r="F55" s="9">
        <v>179253</v>
      </c>
      <c r="G55" s="9">
        <v>1559316</v>
      </c>
      <c r="H55" s="9">
        <v>5147</v>
      </c>
      <c r="I55" s="8" t="s">
        <v>155</v>
      </c>
      <c r="J55" s="8" t="s">
        <v>214</v>
      </c>
      <c r="K55" s="8" t="s">
        <v>215</v>
      </c>
      <c r="L55" s="8" t="s">
        <v>54</v>
      </c>
      <c r="M55" s="8" t="s">
        <v>114</v>
      </c>
      <c r="N55" s="8" t="s">
        <v>42</v>
      </c>
      <c r="O55" s="15">
        <v>80963</v>
      </c>
      <c r="P55" s="15">
        <v>81002</v>
      </c>
      <c r="Q55" s="15">
        <f t="shared" si="0"/>
        <v>39</v>
      </c>
      <c r="R55" s="6">
        <v>100</v>
      </c>
      <c r="S55" s="2" t="str">
        <f t="shared" si="1"/>
        <v>0</v>
      </c>
      <c r="T55" s="2">
        <v>0</v>
      </c>
      <c r="U55" s="3">
        <v>46164.625</v>
      </c>
      <c r="V55" s="3">
        <v>46164.625</v>
      </c>
      <c r="W55" s="3" t="b">
        <f t="shared" si="21"/>
        <v>1</v>
      </c>
      <c r="X55" s="3">
        <v>46164.75</v>
      </c>
      <c r="Y55" s="4">
        <f t="shared" si="14"/>
        <v>0.125</v>
      </c>
      <c r="Z55" s="7">
        <v>0.125</v>
      </c>
      <c r="AA55" s="4">
        <f t="shared" si="3"/>
        <v>0</v>
      </c>
      <c r="AB55" s="19">
        <v>145</v>
      </c>
      <c r="AC55" s="19">
        <v>6.9</v>
      </c>
      <c r="AD55" s="20">
        <f t="shared" si="4"/>
        <v>0</v>
      </c>
      <c r="AE55" s="20">
        <f t="shared" si="15"/>
        <v>0</v>
      </c>
      <c r="AF55" s="20">
        <f t="shared" si="16"/>
        <v>0</v>
      </c>
      <c r="AG55" s="19">
        <v>690</v>
      </c>
      <c r="AH55" s="20">
        <v>0</v>
      </c>
      <c r="AI55" s="20">
        <f t="shared" si="7"/>
        <v>690</v>
      </c>
      <c r="AJ55" s="1" t="s">
        <v>365</v>
      </c>
      <c r="AK55" s="1" t="s">
        <v>365</v>
      </c>
      <c r="AL55" s="1"/>
      <c r="AM55" s="1" t="s">
        <v>375</v>
      </c>
      <c r="AN55" s="1"/>
    </row>
    <row r="56" spans="1:40" s="13" customFormat="1" ht="12" customHeight="1" x14ac:dyDescent="0.3">
      <c r="A56" s="8" t="s">
        <v>37</v>
      </c>
      <c r="B56" s="8" t="s">
        <v>38</v>
      </c>
      <c r="C56" s="8" t="s">
        <v>364</v>
      </c>
      <c r="D56" s="8" t="s">
        <v>39</v>
      </c>
      <c r="E56" s="8" t="s">
        <v>216</v>
      </c>
      <c r="F56" s="9">
        <v>179254</v>
      </c>
      <c r="G56" s="9">
        <v>1558252</v>
      </c>
      <c r="H56" s="9">
        <v>5149</v>
      </c>
      <c r="I56" s="8" t="s">
        <v>217</v>
      </c>
      <c r="J56" s="8" t="s">
        <v>42</v>
      </c>
      <c r="K56" s="8" t="s">
        <v>218</v>
      </c>
      <c r="L56" s="8" t="s">
        <v>64</v>
      </c>
      <c r="M56" s="8" t="s">
        <v>55</v>
      </c>
      <c r="N56" s="8" t="s">
        <v>42</v>
      </c>
      <c r="O56" s="15">
        <v>52227</v>
      </c>
      <c r="P56" s="15">
        <v>52427</v>
      </c>
      <c r="Q56" s="15">
        <f t="shared" si="0"/>
        <v>200</v>
      </c>
      <c r="R56" s="6">
        <v>200</v>
      </c>
      <c r="S56" s="2">
        <f t="shared" si="1"/>
        <v>0</v>
      </c>
      <c r="T56" s="2">
        <v>0</v>
      </c>
      <c r="U56" s="3">
        <v>46163.923611111109</v>
      </c>
      <c r="V56" s="3">
        <v>46163.923611111109</v>
      </c>
      <c r="W56" s="3" t="b">
        <f t="shared" ref="W56:W58" si="22">U56=V56</f>
        <v>1</v>
      </c>
      <c r="X56" s="3">
        <v>46164.131944444445</v>
      </c>
      <c r="Y56" s="4">
        <f t="shared" si="14"/>
        <v>0.20833333333575865</v>
      </c>
      <c r="Z56" s="7">
        <v>0.20833333333333334</v>
      </c>
      <c r="AA56" s="4">
        <f t="shared" si="3"/>
        <v>2.4253099528692701E-12</v>
      </c>
      <c r="AB56" s="19">
        <v>145</v>
      </c>
      <c r="AC56" s="19">
        <v>6.9</v>
      </c>
      <c r="AD56" s="20">
        <f t="shared" si="4"/>
        <v>8.4400786359850599E-9</v>
      </c>
      <c r="AE56" s="20">
        <f t="shared" si="15"/>
        <v>0</v>
      </c>
      <c r="AF56" s="20">
        <f t="shared" si="16"/>
        <v>0</v>
      </c>
      <c r="AG56" s="19">
        <v>1380</v>
      </c>
      <c r="AH56" s="20">
        <v>35</v>
      </c>
      <c r="AI56" s="20">
        <f t="shared" si="7"/>
        <v>1415.0000000084401</v>
      </c>
      <c r="AJ56" s="1" t="s">
        <v>365</v>
      </c>
      <c r="AK56" s="1" t="s">
        <v>365</v>
      </c>
      <c r="AL56" s="1"/>
      <c r="AM56" s="1" t="s">
        <v>375</v>
      </c>
      <c r="AN56" s="1"/>
    </row>
    <row r="57" spans="1:40" s="13" customFormat="1" ht="12" customHeight="1" x14ac:dyDescent="0.3">
      <c r="A57" s="8" t="s">
        <v>37</v>
      </c>
      <c r="B57" s="8" t="s">
        <v>38</v>
      </c>
      <c r="C57" s="8" t="s">
        <v>364</v>
      </c>
      <c r="D57" s="8" t="s">
        <v>39</v>
      </c>
      <c r="E57" s="8" t="s">
        <v>219</v>
      </c>
      <c r="F57" s="9">
        <v>179256</v>
      </c>
      <c r="G57" s="9">
        <v>1558026</v>
      </c>
      <c r="H57" s="9">
        <v>5150</v>
      </c>
      <c r="I57" s="8" t="s">
        <v>201</v>
      </c>
      <c r="J57" s="8" t="s">
        <v>220</v>
      </c>
      <c r="K57" s="8" t="s">
        <v>59</v>
      </c>
      <c r="L57" s="8" t="s">
        <v>54</v>
      </c>
      <c r="M57" s="8" t="s">
        <v>221</v>
      </c>
      <c r="N57" s="8" t="s">
        <v>145</v>
      </c>
      <c r="O57" s="15">
        <v>14166</v>
      </c>
      <c r="P57" s="15">
        <v>15201</v>
      </c>
      <c r="Q57" s="15">
        <f t="shared" si="0"/>
        <v>1035</v>
      </c>
      <c r="R57" s="6">
        <v>1000</v>
      </c>
      <c r="S57" s="2">
        <f t="shared" si="1"/>
        <v>35</v>
      </c>
      <c r="T57" s="2">
        <v>0</v>
      </c>
      <c r="U57" s="3">
        <v>46164.041666666664</v>
      </c>
      <c r="V57" s="3">
        <v>46164.041666666664</v>
      </c>
      <c r="W57" s="3" t="b">
        <f t="shared" si="22"/>
        <v>1</v>
      </c>
      <c r="X57" s="3">
        <v>46165.083333333328</v>
      </c>
      <c r="Y57" s="4">
        <f t="shared" si="14"/>
        <v>1.0416666666642413</v>
      </c>
      <c r="Z57" s="7">
        <v>1.0416666666666667</v>
      </c>
      <c r="AA57" s="4" t="str">
        <f t="shared" si="3"/>
        <v>00:00:00</v>
      </c>
      <c r="AB57" s="19">
        <v>145</v>
      </c>
      <c r="AC57" s="19">
        <v>6.9</v>
      </c>
      <c r="AD57" s="20">
        <f t="shared" si="4"/>
        <v>0</v>
      </c>
      <c r="AE57" s="20">
        <f t="shared" si="15"/>
        <v>241.5</v>
      </c>
      <c r="AF57" s="20">
        <f t="shared" si="16"/>
        <v>0</v>
      </c>
      <c r="AG57" s="19">
        <v>6900</v>
      </c>
      <c r="AH57" s="20">
        <v>189.71</v>
      </c>
      <c r="AI57" s="20">
        <f t="shared" si="7"/>
        <v>7331.21</v>
      </c>
      <c r="AJ57" s="1" t="s">
        <v>365</v>
      </c>
      <c r="AK57" s="1" t="s">
        <v>365</v>
      </c>
      <c r="AL57" s="1"/>
      <c r="AM57" s="1" t="s">
        <v>385</v>
      </c>
      <c r="AN57" s="1"/>
    </row>
    <row r="58" spans="1:40" s="13" customFormat="1" ht="12" customHeight="1" x14ac:dyDescent="0.3">
      <c r="A58" s="8" t="s">
        <v>37</v>
      </c>
      <c r="B58" s="8" t="s">
        <v>38</v>
      </c>
      <c r="C58" s="8" t="s">
        <v>364</v>
      </c>
      <c r="D58" s="8" t="s">
        <v>83</v>
      </c>
      <c r="E58" s="8" t="s">
        <v>50</v>
      </c>
      <c r="F58" s="9">
        <v>179258</v>
      </c>
      <c r="G58" s="9">
        <v>1558016</v>
      </c>
      <c r="H58" s="9">
        <v>5151</v>
      </c>
      <c r="I58" s="8" t="s">
        <v>79</v>
      </c>
      <c r="J58" s="8" t="s">
        <v>222</v>
      </c>
      <c r="K58" s="8" t="s">
        <v>59</v>
      </c>
      <c r="L58" s="8" t="s">
        <v>54</v>
      </c>
      <c r="M58" s="8" t="s">
        <v>55</v>
      </c>
      <c r="N58" s="8" t="s">
        <v>42</v>
      </c>
      <c r="O58" s="15">
        <v>0</v>
      </c>
      <c r="P58" s="15">
        <v>0</v>
      </c>
      <c r="Q58" s="15">
        <f t="shared" si="0"/>
        <v>0</v>
      </c>
      <c r="R58" s="6">
        <v>100</v>
      </c>
      <c r="S58" s="2" t="str">
        <f t="shared" si="1"/>
        <v>0</v>
      </c>
      <c r="T58" s="2">
        <v>0</v>
      </c>
      <c r="U58" s="3">
        <v>46164.041666666664</v>
      </c>
      <c r="V58" s="3">
        <v>46164.041666666664</v>
      </c>
      <c r="W58" s="3" t="b">
        <f t="shared" si="22"/>
        <v>1</v>
      </c>
      <c r="X58" s="3">
        <v>46164.166666666672</v>
      </c>
      <c r="Y58" s="4">
        <f t="shared" si="14"/>
        <v>0.12500000000727596</v>
      </c>
      <c r="Z58" s="7">
        <v>0.125</v>
      </c>
      <c r="AA58" s="4">
        <f t="shared" si="3"/>
        <v>7.2759576141834259E-12</v>
      </c>
      <c r="AB58" s="19">
        <v>145</v>
      </c>
      <c r="AC58" s="19">
        <v>6.9</v>
      </c>
      <c r="AD58" s="20">
        <f t="shared" si="4"/>
        <v>2.5320332497358322E-8</v>
      </c>
      <c r="AE58" s="20">
        <f t="shared" si="15"/>
        <v>0</v>
      </c>
      <c r="AF58" s="20">
        <f t="shared" si="16"/>
        <v>0</v>
      </c>
      <c r="AG58" s="19">
        <v>690</v>
      </c>
      <c r="AH58" s="20">
        <v>0</v>
      </c>
      <c r="AI58" s="20">
        <f t="shared" si="7"/>
        <v>690.00000002532033</v>
      </c>
      <c r="AJ58" s="1" t="s">
        <v>58</v>
      </c>
      <c r="AK58" s="1"/>
      <c r="AL58" s="1"/>
      <c r="AM58" s="1" t="s">
        <v>365</v>
      </c>
      <c r="AN58" s="1"/>
    </row>
    <row r="59" spans="1:40" s="13" customFormat="1" ht="12" customHeight="1" x14ac:dyDescent="0.3">
      <c r="A59" s="8" t="s">
        <v>37</v>
      </c>
      <c r="B59" s="8" t="s">
        <v>38</v>
      </c>
      <c r="C59" s="8" t="s">
        <v>364</v>
      </c>
      <c r="D59" s="8" t="s">
        <v>39</v>
      </c>
      <c r="E59" s="8" t="s">
        <v>87</v>
      </c>
      <c r="F59" s="9">
        <v>179275</v>
      </c>
      <c r="G59" s="9">
        <v>1559216</v>
      </c>
      <c r="H59" s="9">
        <v>5152</v>
      </c>
      <c r="I59" s="8" t="s">
        <v>136</v>
      </c>
      <c r="J59" s="8" t="s">
        <v>223</v>
      </c>
      <c r="K59" s="8" t="s">
        <v>59</v>
      </c>
      <c r="L59" s="8" t="s">
        <v>54</v>
      </c>
      <c r="M59" s="8" t="s">
        <v>138</v>
      </c>
      <c r="N59" s="8" t="s">
        <v>54</v>
      </c>
      <c r="O59" s="15">
        <v>65568</v>
      </c>
      <c r="P59" s="15">
        <v>65636</v>
      </c>
      <c r="Q59" s="15">
        <f t="shared" si="0"/>
        <v>68</v>
      </c>
      <c r="R59" s="6">
        <v>100</v>
      </c>
      <c r="S59" s="2" t="str">
        <f t="shared" si="1"/>
        <v>0</v>
      </c>
      <c r="T59" s="2">
        <v>0</v>
      </c>
      <c r="U59" s="3">
        <v>46164.208333333336</v>
      </c>
      <c r="V59" s="3">
        <v>46164.208333333336</v>
      </c>
      <c r="W59" s="3" t="b">
        <f>V59=U59</f>
        <v>1</v>
      </c>
      <c r="X59" s="3">
        <v>46164.53125</v>
      </c>
      <c r="Y59" s="4">
        <f t="shared" si="14"/>
        <v>0.32291666666424135</v>
      </c>
      <c r="Z59" s="7">
        <v>0.125</v>
      </c>
      <c r="AA59" s="4">
        <f t="shared" si="3"/>
        <v>0.19791666666424135</v>
      </c>
      <c r="AB59" s="19">
        <v>145</v>
      </c>
      <c r="AC59" s="19">
        <v>6.9</v>
      </c>
      <c r="AD59" s="20">
        <f t="shared" si="4"/>
        <v>688.74999999155989</v>
      </c>
      <c r="AE59" s="20">
        <f t="shared" si="15"/>
        <v>0</v>
      </c>
      <c r="AF59" s="20">
        <f t="shared" si="16"/>
        <v>0</v>
      </c>
      <c r="AG59" s="19">
        <v>690.00000000000011</v>
      </c>
      <c r="AH59" s="20">
        <v>5.9</v>
      </c>
      <c r="AI59" s="20">
        <f t="shared" si="7"/>
        <v>1384.64999999156</v>
      </c>
      <c r="AJ59" s="1" t="s">
        <v>365</v>
      </c>
      <c r="AK59" s="1" t="s">
        <v>365</v>
      </c>
      <c r="AL59" s="1"/>
      <c r="AM59" s="1" t="s">
        <v>375</v>
      </c>
      <c r="AN59" s="1"/>
    </row>
    <row r="60" spans="1:40" s="13" customFormat="1" ht="12" customHeight="1" x14ac:dyDescent="0.3">
      <c r="A60" s="8" t="s">
        <v>37</v>
      </c>
      <c r="B60" s="8" t="s">
        <v>38</v>
      </c>
      <c r="C60" s="8" t="s">
        <v>364</v>
      </c>
      <c r="D60" s="8" t="s">
        <v>39</v>
      </c>
      <c r="E60" s="8" t="s">
        <v>73</v>
      </c>
      <c r="F60" s="9">
        <v>179276</v>
      </c>
      <c r="G60" s="9">
        <v>1558709</v>
      </c>
      <c r="H60" s="9">
        <v>5156</v>
      </c>
      <c r="I60" s="8" t="s">
        <v>224</v>
      </c>
      <c r="J60" s="8" t="s">
        <v>225</v>
      </c>
      <c r="K60" s="8" t="s">
        <v>226</v>
      </c>
      <c r="L60" s="8" t="s">
        <v>77</v>
      </c>
      <c r="M60" s="8" t="s">
        <v>227</v>
      </c>
      <c r="N60" s="8" t="s">
        <v>77</v>
      </c>
      <c r="O60" s="15">
        <v>213906</v>
      </c>
      <c r="P60" s="15">
        <v>213939</v>
      </c>
      <c r="Q60" s="15">
        <f t="shared" si="0"/>
        <v>33</v>
      </c>
      <c r="R60" s="6">
        <v>100</v>
      </c>
      <c r="S60" s="2" t="str">
        <f t="shared" si="1"/>
        <v>0</v>
      </c>
      <c r="T60" s="2">
        <v>0</v>
      </c>
      <c r="U60" s="3">
        <v>46164.291666666664</v>
      </c>
      <c r="V60" s="3">
        <v>46164.291666666664</v>
      </c>
      <c r="W60" s="3" t="b">
        <f t="shared" ref="W60:W72" si="23">U60=V60</f>
        <v>1</v>
      </c>
      <c r="X60" s="3">
        <v>46164.416666666672</v>
      </c>
      <c r="Y60" s="4">
        <f t="shared" si="14"/>
        <v>0.12500000000727596</v>
      </c>
      <c r="Z60" s="7">
        <v>0.125</v>
      </c>
      <c r="AA60" s="4">
        <f t="shared" si="3"/>
        <v>7.2759576141834259E-12</v>
      </c>
      <c r="AB60" s="19">
        <v>145</v>
      </c>
      <c r="AC60" s="19">
        <v>7.35</v>
      </c>
      <c r="AD60" s="20">
        <f t="shared" si="4"/>
        <v>2.5320332497358322E-8</v>
      </c>
      <c r="AE60" s="20">
        <f t="shared" si="15"/>
        <v>0</v>
      </c>
      <c r="AF60" s="20">
        <f t="shared" si="16"/>
        <v>0</v>
      </c>
      <c r="AG60" s="19">
        <v>735</v>
      </c>
      <c r="AH60" s="20">
        <v>0</v>
      </c>
      <c r="AI60" s="20">
        <f t="shared" si="7"/>
        <v>735.00000002532033</v>
      </c>
      <c r="AJ60" s="1" t="s">
        <v>365</v>
      </c>
      <c r="AK60" s="1" t="s">
        <v>365</v>
      </c>
      <c r="AL60" s="1"/>
      <c r="AM60" s="1" t="s">
        <v>375</v>
      </c>
      <c r="AN60" s="1"/>
    </row>
    <row r="61" spans="1:40" s="13" customFormat="1" ht="12" customHeight="1" x14ac:dyDescent="0.3">
      <c r="A61" s="8" t="s">
        <v>37</v>
      </c>
      <c r="B61" s="8" t="s">
        <v>38</v>
      </c>
      <c r="C61" s="8" t="s">
        <v>364</v>
      </c>
      <c r="D61" s="8" t="s">
        <v>39</v>
      </c>
      <c r="E61" s="8" t="s">
        <v>73</v>
      </c>
      <c r="F61" s="9">
        <v>179278</v>
      </c>
      <c r="G61" s="9">
        <v>1558720</v>
      </c>
      <c r="H61" s="9">
        <v>5155</v>
      </c>
      <c r="I61" s="8" t="s">
        <v>228</v>
      </c>
      <c r="J61" s="8" t="s">
        <v>229</v>
      </c>
      <c r="K61" s="8" t="s">
        <v>226</v>
      </c>
      <c r="L61" s="8" t="s">
        <v>77</v>
      </c>
      <c r="M61" s="8" t="s">
        <v>230</v>
      </c>
      <c r="N61" s="8" t="s">
        <v>42</v>
      </c>
      <c r="O61" s="15">
        <v>280268</v>
      </c>
      <c r="P61" s="15">
        <v>280307</v>
      </c>
      <c r="Q61" s="15">
        <f t="shared" si="0"/>
        <v>39</v>
      </c>
      <c r="R61" s="6">
        <v>100</v>
      </c>
      <c r="S61" s="2" t="str">
        <f t="shared" si="1"/>
        <v>0</v>
      </c>
      <c r="T61" s="2">
        <v>0</v>
      </c>
      <c r="U61" s="3">
        <v>46164.25</v>
      </c>
      <c r="V61" s="3">
        <v>46164.25</v>
      </c>
      <c r="W61" s="3" t="b">
        <f t="shared" si="23"/>
        <v>1</v>
      </c>
      <c r="X61" s="3">
        <v>46164.413888888885</v>
      </c>
      <c r="Y61" s="4">
        <f t="shared" si="14"/>
        <v>0.163888888884685</v>
      </c>
      <c r="Z61" s="7">
        <v>0.125</v>
      </c>
      <c r="AA61" s="4">
        <f t="shared" si="3"/>
        <v>3.8888888884685002E-2</v>
      </c>
      <c r="AB61" s="19">
        <v>145</v>
      </c>
      <c r="AC61" s="19">
        <v>7.35</v>
      </c>
      <c r="AD61" s="20">
        <f t="shared" si="4"/>
        <v>135.33333331870381</v>
      </c>
      <c r="AE61" s="20">
        <f t="shared" si="15"/>
        <v>0</v>
      </c>
      <c r="AF61" s="20">
        <f t="shared" si="16"/>
        <v>0</v>
      </c>
      <c r="AG61" s="19">
        <v>735</v>
      </c>
      <c r="AH61" s="20">
        <v>0</v>
      </c>
      <c r="AI61" s="20">
        <f t="shared" si="7"/>
        <v>870.33333331870381</v>
      </c>
      <c r="AJ61" s="1" t="s">
        <v>365</v>
      </c>
      <c r="AK61" s="1" t="s">
        <v>365</v>
      </c>
      <c r="AL61" s="1"/>
      <c r="AM61" s="1" t="s">
        <v>375</v>
      </c>
      <c r="AN61" s="1"/>
    </row>
    <row r="62" spans="1:40" s="13" customFormat="1" ht="12" customHeight="1" x14ac:dyDescent="0.3">
      <c r="A62" s="8" t="s">
        <v>37</v>
      </c>
      <c r="B62" s="8" t="s">
        <v>38</v>
      </c>
      <c r="C62" s="8" t="s">
        <v>364</v>
      </c>
      <c r="D62" s="8" t="s">
        <v>39</v>
      </c>
      <c r="E62" s="8" t="s">
        <v>231</v>
      </c>
      <c r="F62" s="9">
        <v>179294</v>
      </c>
      <c r="G62" s="9">
        <v>1559032.1559031999</v>
      </c>
      <c r="H62" s="9">
        <v>5159</v>
      </c>
      <c r="I62" s="8" t="s">
        <v>232</v>
      </c>
      <c r="J62" s="8" t="s">
        <v>233</v>
      </c>
      <c r="K62" s="8" t="s">
        <v>108</v>
      </c>
      <c r="L62" s="8" t="s">
        <v>54</v>
      </c>
      <c r="M62" s="8" t="s">
        <v>234</v>
      </c>
      <c r="N62" s="8" t="s">
        <v>77</v>
      </c>
      <c r="O62" s="15">
        <v>10096</v>
      </c>
      <c r="P62" s="15">
        <v>11332</v>
      </c>
      <c r="Q62" s="15">
        <f t="shared" si="0"/>
        <v>1236</v>
      </c>
      <c r="R62" s="6">
        <v>1200</v>
      </c>
      <c r="S62" s="2">
        <f t="shared" si="1"/>
        <v>36</v>
      </c>
      <c r="T62" s="2">
        <v>0</v>
      </c>
      <c r="U62" s="3">
        <v>46164.534722222219</v>
      </c>
      <c r="V62" s="3">
        <v>46164.534722222219</v>
      </c>
      <c r="W62" s="3" t="b">
        <f t="shared" si="23"/>
        <v>1</v>
      </c>
      <c r="X62" s="3">
        <v>46167.435416666667</v>
      </c>
      <c r="Y62" s="4">
        <f t="shared" si="14"/>
        <v>2.9006944444481633</v>
      </c>
      <c r="Z62" s="7">
        <v>1.25</v>
      </c>
      <c r="AA62" s="4">
        <f t="shared" si="3"/>
        <v>1.6506944444481633</v>
      </c>
      <c r="AB62" s="19">
        <v>145</v>
      </c>
      <c r="AC62" s="19">
        <v>6.9</v>
      </c>
      <c r="AD62" s="20">
        <f t="shared" si="4"/>
        <v>5744.4166666796082</v>
      </c>
      <c r="AE62" s="20">
        <f t="shared" si="15"/>
        <v>248.4</v>
      </c>
      <c r="AF62" s="20">
        <f t="shared" si="16"/>
        <v>0</v>
      </c>
      <c r="AG62" s="19">
        <v>8280</v>
      </c>
      <c r="AH62" s="20">
        <v>160.9</v>
      </c>
      <c r="AI62" s="20">
        <f t="shared" si="7"/>
        <v>14433.716666679607</v>
      </c>
      <c r="AJ62" s="1" t="s">
        <v>365</v>
      </c>
      <c r="AK62" s="1" t="s">
        <v>365</v>
      </c>
      <c r="AL62" s="1"/>
      <c r="AM62" s="1" t="s">
        <v>386</v>
      </c>
      <c r="AN62" s="1"/>
    </row>
    <row r="63" spans="1:40" s="13" customFormat="1" ht="12" customHeight="1" x14ac:dyDescent="0.3">
      <c r="A63" s="8" t="s">
        <v>37</v>
      </c>
      <c r="B63" s="8" t="s">
        <v>38</v>
      </c>
      <c r="C63" s="8" t="s">
        <v>364</v>
      </c>
      <c r="D63" s="8" t="s">
        <v>39</v>
      </c>
      <c r="E63" s="8" t="s">
        <v>73</v>
      </c>
      <c r="F63" s="9">
        <v>179298</v>
      </c>
      <c r="G63" s="9">
        <v>1559272</v>
      </c>
      <c r="H63" s="9">
        <v>5160</v>
      </c>
      <c r="I63" s="8" t="s">
        <v>235</v>
      </c>
      <c r="J63" s="8" t="s">
        <v>229</v>
      </c>
      <c r="K63" s="8" t="s">
        <v>236</v>
      </c>
      <c r="L63" s="8" t="s">
        <v>77</v>
      </c>
      <c r="M63" s="8" t="s">
        <v>183</v>
      </c>
      <c r="N63" s="8" t="s">
        <v>77</v>
      </c>
      <c r="O63" s="15">
        <v>264917</v>
      </c>
      <c r="P63" s="15">
        <v>264940</v>
      </c>
      <c r="Q63" s="15">
        <f t="shared" si="0"/>
        <v>23</v>
      </c>
      <c r="R63" s="6">
        <v>100</v>
      </c>
      <c r="S63" s="2" t="str">
        <f t="shared" si="1"/>
        <v>0</v>
      </c>
      <c r="T63" s="2">
        <v>0</v>
      </c>
      <c r="U63" s="3">
        <v>46164.5625</v>
      </c>
      <c r="V63" s="3">
        <v>46164.5625</v>
      </c>
      <c r="W63" s="3" t="b">
        <f t="shared" si="23"/>
        <v>1</v>
      </c>
      <c r="X63" s="3">
        <v>46164.729166666672</v>
      </c>
      <c r="Y63" s="4">
        <f t="shared" si="14"/>
        <v>0.16666666667151731</v>
      </c>
      <c r="Z63" s="7">
        <v>0.125</v>
      </c>
      <c r="AA63" s="4">
        <f t="shared" si="3"/>
        <v>4.1666666671517305E-2</v>
      </c>
      <c r="AB63" s="19">
        <v>145</v>
      </c>
      <c r="AC63" s="19">
        <v>7.35</v>
      </c>
      <c r="AD63" s="20">
        <f t="shared" si="4"/>
        <v>145.00000001688022</v>
      </c>
      <c r="AE63" s="20">
        <f t="shared" si="15"/>
        <v>0</v>
      </c>
      <c r="AF63" s="20">
        <f t="shared" si="16"/>
        <v>0</v>
      </c>
      <c r="AG63" s="19">
        <v>735</v>
      </c>
      <c r="AH63" s="20">
        <v>0</v>
      </c>
      <c r="AI63" s="20">
        <f t="shared" si="7"/>
        <v>880.00000001688022</v>
      </c>
      <c r="AJ63" s="1" t="s">
        <v>365</v>
      </c>
      <c r="AK63" s="1" t="s">
        <v>365</v>
      </c>
      <c r="AL63" s="1"/>
      <c r="AM63" s="1" t="s">
        <v>375</v>
      </c>
      <c r="AN63" s="1"/>
    </row>
    <row r="64" spans="1:40" s="13" customFormat="1" ht="12" customHeight="1" x14ac:dyDescent="0.3">
      <c r="A64" s="8" t="s">
        <v>37</v>
      </c>
      <c r="B64" s="8" t="s">
        <v>38</v>
      </c>
      <c r="C64" s="8" t="s">
        <v>364</v>
      </c>
      <c r="D64" s="8" t="s">
        <v>39</v>
      </c>
      <c r="E64" s="8" t="s">
        <v>73</v>
      </c>
      <c r="F64" s="9">
        <v>179299</v>
      </c>
      <c r="G64" s="9">
        <v>1559272</v>
      </c>
      <c r="H64" s="9">
        <v>5161</v>
      </c>
      <c r="I64" s="8" t="s">
        <v>224</v>
      </c>
      <c r="J64" s="8" t="s">
        <v>229</v>
      </c>
      <c r="K64" s="8" t="s">
        <v>236</v>
      </c>
      <c r="L64" s="8" t="s">
        <v>77</v>
      </c>
      <c r="M64" s="8" t="s">
        <v>183</v>
      </c>
      <c r="N64" s="8" t="s">
        <v>77</v>
      </c>
      <c r="O64" s="15">
        <v>213994</v>
      </c>
      <c r="P64" s="15">
        <v>214018</v>
      </c>
      <c r="Q64" s="15">
        <f t="shared" si="0"/>
        <v>24</v>
      </c>
      <c r="R64" s="6">
        <v>100</v>
      </c>
      <c r="S64" s="2" t="str">
        <f t="shared" si="1"/>
        <v>0</v>
      </c>
      <c r="T64" s="2">
        <v>0</v>
      </c>
      <c r="U64" s="3">
        <v>46164.5625</v>
      </c>
      <c r="V64" s="3">
        <v>46164.5625</v>
      </c>
      <c r="W64" s="3" t="b">
        <f t="shared" si="23"/>
        <v>1</v>
      </c>
      <c r="X64" s="3">
        <v>46164.729166666672</v>
      </c>
      <c r="Y64" s="4">
        <f t="shared" si="14"/>
        <v>0.16666666667151731</v>
      </c>
      <c r="Z64" s="7">
        <v>0.125</v>
      </c>
      <c r="AA64" s="4">
        <f t="shared" si="3"/>
        <v>4.1666666671517305E-2</v>
      </c>
      <c r="AB64" s="19">
        <v>145</v>
      </c>
      <c r="AC64" s="19">
        <v>7.35</v>
      </c>
      <c r="AD64" s="20">
        <f t="shared" si="4"/>
        <v>145.00000001688022</v>
      </c>
      <c r="AE64" s="20">
        <f t="shared" si="15"/>
        <v>0</v>
      </c>
      <c r="AF64" s="20">
        <f t="shared" si="16"/>
        <v>0</v>
      </c>
      <c r="AG64" s="19">
        <v>735</v>
      </c>
      <c r="AH64" s="20">
        <v>0</v>
      </c>
      <c r="AI64" s="20">
        <f t="shared" si="7"/>
        <v>880.00000001688022</v>
      </c>
      <c r="AJ64" s="1" t="s">
        <v>365</v>
      </c>
      <c r="AK64" s="1" t="s">
        <v>365</v>
      </c>
      <c r="AL64" s="1"/>
      <c r="AM64" s="1" t="s">
        <v>375</v>
      </c>
      <c r="AN64" s="1"/>
    </row>
    <row r="65" spans="1:40" s="13" customFormat="1" ht="12" customHeight="1" x14ac:dyDescent="0.3">
      <c r="A65" s="8" t="s">
        <v>37</v>
      </c>
      <c r="B65" s="8" t="s">
        <v>38</v>
      </c>
      <c r="C65" s="8" t="s">
        <v>364</v>
      </c>
      <c r="D65" s="8" t="s">
        <v>39</v>
      </c>
      <c r="E65" s="8" t="s">
        <v>231</v>
      </c>
      <c r="F65" s="9">
        <v>179302</v>
      </c>
      <c r="G65" s="9">
        <v>1559270.1559270001</v>
      </c>
      <c r="H65" s="9">
        <v>5166</v>
      </c>
      <c r="I65" s="8" t="s">
        <v>237</v>
      </c>
      <c r="J65" s="8" t="s">
        <v>238</v>
      </c>
      <c r="K65" s="8" t="s">
        <v>108</v>
      </c>
      <c r="L65" s="8" t="s">
        <v>54</v>
      </c>
      <c r="M65" s="8" t="s">
        <v>239</v>
      </c>
      <c r="N65" s="8" t="s">
        <v>77</v>
      </c>
      <c r="O65" s="15">
        <v>3295</v>
      </c>
      <c r="P65" s="15">
        <v>4461</v>
      </c>
      <c r="Q65" s="15">
        <f t="shared" si="0"/>
        <v>1166</v>
      </c>
      <c r="R65" s="6">
        <v>1200</v>
      </c>
      <c r="S65" s="2" t="str">
        <f t="shared" si="1"/>
        <v>0</v>
      </c>
      <c r="T65" s="2">
        <v>0</v>
      </c>
      <c r="U65" s="3">
        <v>46165.229166666664</v>
      </c>
      <c r="V65" s="3">
        <v>46165.229166666664</v>
      </c>
      <c r="W65" s="3" t="b">
        <f t="shared" si="23"/>
        <v>1</v>
      </c>
      <c r="X65" s="3">
        <v>46167.443749999999</v>
      </c>
      <c r="Y65" s="4">
        <f t="shared" si="14"/>
        <v>2.2145833333343035</v>
      </c>
      <c r="Z65" s="7">
        <v>1.25</v>
      </c>
      <c r="AA65" s="4">
        <f t="shared" si="3"/>
        <v>0.96458333333430346</v>
      </c>
      <c r="AB65" s="19">
        <v>145</v>
      </c>
      <c r="AC65" s="19">
        <v>6.9</v>
      </c>
      <c r="AD65" s="20">
        <f t="shared" si="4"/>
        <v>3356.750000003376</v>
      </c>
      <c r="AE65" s="20">
        <f t="shared" si="15"/>
        <v>0</v>
      </c>
      <c r="AF65" s="20">
        <f t="shared" si="16"/>
        <v>0</v>
      </c>
      <c r="AG65" s="19">
        <v>8280</v>
      </c>
      <c r="AH65" s="20">
        <v>138.5</v>
      </c>
      <c r="AI65" s="20">
        <f t="shared" si="7"/>
        <v>11775.250000003376</v>
      </c>
      <c r="AJ65" s="1" t="s">
        <v>365</v>
      </c>
      <c r="AK65" s="1" t="s">
        <v>365</v>
      </c>
      <c r="AL65" s="1"/>
      <c r="AM65" s="1" t="s">
        <v>386</v>
      </c>
      <c r="AN65" s="1"/>
    </row>
    <row r="66" spans="1:40" s="13" customFormat="1" ht="12" customHeight="1" x14ac:dyDescent="0.3">
      <c r="A66" s="8" t="s">
        <v>37</v>
      </c>
      <c r="B66" s="8" t="s">
        <v>38</v>
      </c>
      <c r="C66" s="8" t="s">
        <v>364</v>
      </c>
      <c r="D66" s="8" t="s">
        <v>39</v>
      </c>
      <c r="E66" s="8" t="s">
        <v>50</v>
      </c>
      <c r="F66" s="9">
        <v>179321</v>
      </c>
      <c r="G66" s="8" t="s">
        <v>240</v>
      </c>
      <c r="H66" s="9">
        <v>5170</v>
      </c>
      <c r="I66" s="8" t="s">
        <v>155</v>
      </c>
      <c r="J66" s="8" t="s">
        <v>241</v>
      </c>
      <c r="K66" s="8" t="s">
        <v>59</v>
      </c>
      <c r="L66" s="8" t="s">
        <v>54</v>
      </c>
      <c r="M66" s="8" t="s">
        <v>55</v>
      </c>
      <c r="N66" s="8" t="s">
        <v>42</v>
      </c>
      <c r="O66" s="15">
        <v>81074</v>
      </c>
      <c r="P66" s="15">
        <v>81274</v>
      </c>
      <c r="Q66" s="15">
        <f t="shared" ref="Q66:Q126" si="24">P66-O66</f>
        <v>200</v>
      </c>
      <c r="R66" s="6">
        <v>200</v>
      </c>
      <c r="S66" s="2">
        <f t="shared" ref="S66:S126" si="25">IF(Q66-R66&lt;0,"0",Q66-R66)</f>
        <v>0</v>
      </c>
      <c r="T66" s="2">
        <v>0</v>
      </c>
      <c r="U66" s="3">
        <v>46164.895833333336</v>
      </c>
      <c r="V66" s="3">
        <v>46164.895833333336</v>
      </c>
      <c r="W66" s="3" t="b">
        <f t="shared" si="23"/>
        <v>1</v>
      </c>
      <c r="X66" s="3">
        <v>46165.104166666672</v>
      </c>
      <c r="Y66" s="4">
        <f t="shared" ref="Y66:Y97" si="26">X66-U66</f>
        <v>0.20833333333575865</v>
      </c>
      <c r="Z66" s="7">
        <v>0.20833333333333334</v>
      </c>
      <c r="AA66" s="4">
        <f t="shared" ref="AA66:AA126" si="27">IF(Y66-Z66&lt;0,"00:00:00",Y66-Z66)</f>
        <v>2.4253099528692701E-12</v>
      </c>
      <c r="AB66" s="19">
        <v>145</v>
      </c>
      <c r="AC66" s="19">
        <v>6.9</v>
      </c>
      <c r="AD66" s="20">
        <f t="shared" ref="AD66:AD126" si="28">AA66*AB66*24</f>
        <v>8.4400786359850599E-9</v>
      </c>
      <c r="AE66" s="20">
        <f t="shared" ref="AE66:AE97" si="29">S66*AC66</f>
        <v>0</v>
      </c>
      <c r="AF66" s="20">
        <f>T66*AC66</f>
        <v>0</v>
      </c>
      <c r="AG66" s="19">
        <v>1380</v>
      </c>
      <c r="AH66" s="20">
        <v>35</v>
      </c>
      <c r="AI66" s="20">
        <f t="shared" ref="AI66:AI126" si="30">SUM(AD66:AH66)</f>
        <v>1415.0000000084401</v>
      </c>
      <c r="AJ66" s="1" t="s">
        <v>365</v>
      </c>
      <c r="AK66" s="1" t="s">
        <v>365</v>
      </c>
      <c r="AL66" s="1"/>
      <c r="AM66" s="1" t="s">
        <v>375</v>
      </c>
      <c r="AN66" s="1"/>
    </row>
    <row r="67" spans="1:40" s="13" customFormat="1" ht="12" customHeight="1" x14ac:dyDescent="0.3">
      <c r="A67" s="8" t="s">
        <v>37</v>
      </c>
      <c r="B67" s="8" t="s">
        <v>38</v>
      </c>
      <c r="C67" s="8" t="s">
        <v>364</v>
      </c>
      <c r="D67" s="8" t="s">
        <v>39</v>
      </c>
      <c r="E67" s="8" t="s">
        <v>242</v>
      </c>
      <c r="F67" s="9">
        <v>179327</v>
      </c>
      <c r="G67" s="9">
        <v>1559177.1559176999</v>
      </c>
      <c r="H67" s="9">
        <v>5172</v>
      </c>
      <c r="I67" s="8" t="s">
        <v>243</v>
      </c>
      <c r="J67" s="8" t="s">
        <v>244</v>
      </c>
      <c r="K67" s="8" t="s">
        <v>245</v>
      </c>
      <c r="L67" s="8" t="s">
        <v>64</v>
      </c>
      <c r="M67" s="8" t="s">
        <v>72</v>
      </c>
      <c r="N67" s="8" t="s">
        <v>42</v>
      </c>
      <c r="O67" s="15">
        <v>66916</v>
      </c>
      <c r="P67" s="15">
        <v>67216</v>
      </c>
      <c r="Q67" s="15">
        <f t="shared" si="24"/>
        <v>300</v>
      </c>
      <c r="R67" s="6">
        <v>300</v>
      </c>
      <c r="S67" s="2">
        <f t="shared" si="25"/>
        <v>0</v>
      </c>
      <c r="T67" s="2">
        <v>0</v>
      </c>
      <c r="U67" s="3">
        <v>46164.979166666664</v>
      </c>
      <c r="V67" s="3">
        <v>46164.979166666664</v>
      </c>
      <c r="W67" s="3" t="b">
        <f t="shared" si="23"/>
        <v>1</v>
      </c>
      <c r="X67" s="3">
        <v>46165.3125</v>
      </c>
      <c r="Y67" s="4">
        <f t="shared" si="26"/>
        <v>0.33333333333575865</v>
      </c>
      <c r="Z67" s="7">
        <v>0.33333333333333331</v>
      </c>
      <c r="AA67" s="4">
        <f t="shared" si="27"/>
        <v>2.4253377084448857E-12</v>
      </c>
      <c r="AB67" s="19">
        <v>145</v>
      </c>
      <c r="AC67" s="19">
        <v>6.9</v>
      </c>
      <c r="AD67" s="20">
        <f t="shared" si="28"/>
        <v>8.4401752253882023E-9</v>
      </c>
      <c r="AE67" s="20">
        <f t="shared" si="29"/>
        <v>0</v>
      </c>
      <c r="AF67" s="20">
        <f t="shared" ref="AF67:AF97" si="31">T67*AC67</f>
        <v>0</v>
      </c>
      <c r="AG67" s="19">
        <v>2070</v>
      </c>
      <c r="AH67" s="20">
        <v>55</v>
      </c>
      <c r="AI67" s="20">
        <f t="shared" si="30"/>
        <v>2125.0000000084401</v>
      </c>
      <c r="AJ67" s="1" t="s">
        <v>365</v>
      </c>
      <c r="AK67" s="1" t="s">
        <v>365</v>
      </c>
      <c r="AL67" s="1"/>
      <c r="AM67" s="1" t="s">
        <v>375</v>
      </c>
      <c r="AN67" s="1"/>
    </row>
    <row r="68" spans="1:40" s="13" customFormat="1" ht="12" customHeight="1" x14ac:dyDescent="0.3">
      <c r="A68" s="8" t="s">
        <v>37</v>
      </c>
      <c r="B68" s="8" t="s">
        <v>38</v>
      </c>
      <c r="C68" s="8" t="s">
        <v>364</v>
      </c>
      <c r="D68" s="8" t="s">
        <v>39</v>
      </c>
      <c r="E68" s="8" t="s">
        <v>216</v>
      </c>
      <c r="F68" s="9">
        <v>179328</v>
      </c>
      <c r="G68" s="9">
        <v>1559571.1559571</v>
      </c>
      <c r="H68" s="9">
        <v>5173</v>
      </c>
      <c r="I68" s="8" t="s">
        <v>246</v>
      </c>
      <c r="J68" s="8" t="s">
        <v>247</v>
      </c>
      <c r="K68" s="8" t="s">
        <v>245</v>
      </c>
      <c r="L68" s="8" t="s">
        <v>64</v>
      </c>
      <c r="M68" s="8" t="s">
        <v>55</v>
      </c>
      <c r="N68" s="8" t="s">
        <v>42</v>
      </c>
      <c r="O68" s="15">
        <v>64404</v>
      </c>
      <c r="P68" s="15">
        <v>64604</v>
      </c>
      <c r="Q68" s="15">
        <f t="shared" si="24"/>
        <v>200</v>
      </c>
      <c r="R68" s="6">
        <v>200</v>
      </c>
      <c r="S68" s="2">
        <f t="shared" si="25"/>
        <v>0</v>
      </c>
      <c r="T68" s="2">
        <v>0</v>
      </c>
      <c r="U68" s="3">
        <v>46164.958333333336</v>
      </c>
      <c r="V68" s="3">
        <v>46164.958333333336</v>
      </c>
      <c r="W68" s="3" t="b">
        <f t="shared" si="23"/>
        <v>1</v>
      </c>
      <c r="X68" s="3">
        <v>46165.166666666672</v>
      </c>
      <c r="Y68" s="4">
        <f t="shared" si="26"/>
        <v>0.20833333333575865</v>
      </c>
      <c r="Z68" s="7">
        <v>0.20833333333333334</v>
      </c>
      <c r="AA68" s="4">
        <f t="shared" si="27"/>
        <v>2.4253099528692701E-12</v>
      </c>
      <c r="AB68" s="19">
        <v>145</v>
      </c>
      <c r="AC68" s="19">
        <v>6.9</v>
      </c>
      <c r="AD68" s="20">
        <f t="shared" si="28"/>
        <v>8.4400786359850599E-9</v>
      </c>
      <c r="AE68" s="20">
        <f t="shared" si="29"/>
        <v>0</v>
      </c>
      <c r="AF68" s="20">
        <f t="shared" si="31"/>
        <v>0</v>
      </c>
      <c r="AG68" s="19">
        <v>1380</v>
      </c>
      <c r="AH68" s="20">
        <v>35</v>
      </c>
      <c r="AI68" s="20">
        <f t="shared" si="30"/>
        <v>1415.0000000084401</v>
      </c>
      <c r="AJ68" s="1" t="s">
        <v>365</v>
      </c>
      <c r="AK68" s="1" t="s">
        <v>365</v>
      </c>
      <c r="AL68" s="1"/>
      <c r="AM68" s="1" t="s">
        <v>375</v>
      </c>
      <c r="AN68" s="1"/>
    </row>
    <row r="69" spans="1:40" s="13" customFormat="1" ht="12" customHeight="1" x14ac:dyDescent="0.3">
      <c r="A69" s="8" t="s">
        <v>37</v>
      </c>
      <c r="B69" s="8" t="s">
        <v>38</v>
      </c>
      <c r="C69" s="8" t="s">
        <v>364</v>
      </c>
      <c r="D69" s="8" t="s">
        <v>39</v>
      </c>
      <c r="E69" s="8" t="s">
        <v>202</v>
      </c>
      <c r="F69" s="9">
        <v>179330</v>
      </c>
      <c r="G69" s="8" t="s">
        <v>248</v>
      </c>
      <c r="H69" s="9">
        <v>5174</v>
      </c>
      <c r="I69" s="8" t="s">
        <v>249</v>
      </c>
      <c r="J69" s="8" t="s">
        <v>250</v>
      </c>
      <c r="K69" s="8" t="s">
        <v>251</v>
      </c>
      <c r="L69" s="8" t="s">
        <v>86</v>
      </c>
      <c r="M69" s="8" t="s">
        <v>55</v>
      </c>
      <c r="N69" s="8" t="s">
        <v>42</v>
      </c>
      <c r="O69" s="15">
        <v>13399</v>
      </c>
      <c r="P69" s="15">
        <v>13599</v>
      </c>
      <c r="Q69" s="15">
        <f t="shared" si="24"/>
        <v>200</v>
      </c>
      <c r="R69" s="6">
        <v>200</v>
      </c>
      <c r="S69" s="2">
        <f t="shared" si="25"/>
        <v>0</v>
      </c>
      <c r="T69" s="2">
        <v>0</v>
      </c>
      <c r="U69" s="3">
        <v>46164.979166666664</v>
      </c>
      <c r="V69" s="3">
        <v>46164.979166666664</v>
      </c>
      <c r="W69" s="3" t="b">
        <f t="shared" si="23"/>
        <v>1</v>
      </c>
      <c r="X69" s="3">
        <v>46165.5</v>
      </c>
      <c r="Y69" s="4">
        <f t="shared" si="26"/>
        <v>0.52083333333575865</v>
      </c>
      <c r="Z69" s="7">
        <v>0.20833333333333334</v>
      </c>
      <c r="AA69" s="4">
        <f t="shared" si="27"/>
        <v>0.31250000000242528</v>
      </c>
      <c r="AB69" s="19">
        <v>145</v>
      </c>
      <c r="AC69" s="19">
        <v>6.9</v>
      </c>
      <c r="AD69" s="20">
        <f t="shared" si="28"/>
        <v>1087.5000000084401</v>
      </c>
      <c r="AE69" s="20">
        <f t="shared" si="29"/>
        <v>0</v>
      </c>
      <c r="AF69" s="20">
        <f t="shared" si="31"/>
        <v>0</v>
      </c>
      <c r="AG69" s="19">
        <v>1380</v>
      </c>
      <c r="AH69" s="20">
        <v>35</v>
      </c>
      <c r="AI69" s="20">
        <f t="shared" si="30"/>
        <v>2502.5000000084401</v>
      </c>
      <c r="AJ69" s="1" t="s">
        <v>365</v>
      </c>
      <c r="AK69" s="1" t="s">
        <v>365</v>
      </c>
      <c r="AL69" s="1"/>
      <c r="AM69" s="1" t="s">
        <v>380</v>
      </c>
      <c r="AN69" s="1"/>
    </row>
    <row r="70" spans="1:40" s="13" customFormat="1" ht="12" customHeight="1" x14ac:dyDescent="0.3">
      <c r="A70" s="8" t="s">
        <v>37</v>
      </c>
      <c r="B70" s="8" t="s">
        <v>38</v>
      </c>
      <c r="C70" s="8" t="s">
        <v>364</v>
      </c>
      <c r="D70" s="8" t="s">
        <v>39</v>
      </c>
      <c r="E70" s="8" t="s">
        <v>50</v>
      </c>
      <c r="F70" s="9">
        <v>179331</v>
      </c>
      <c r="G70" s="9">
        <v>1559972</v>
      </c>
      <c r="H70" s="9">
        <v>5175</v>
      </c>
      <c r="I70" s="8" t="s">
        <v>252</v>
      </c>
      <c r="J70" s="8" t="s">
        <v>42</v>
      </c>
      <c r="K70" s="8" t="s">
        <v>53</v>
      </c>
      <c r="L70" s="8" t="s">
        <v>54</v>
      </c>
      <c r="M70" s="8" t="s">
        <v>55</v>
      </c>
      <c r="N70" s="8" t="s">
        <v>42</v>
      </c>
      <c r="O70" s="15">
        <v>345411</v>
      </c>
      <c r="P70" s="15">
        <v>345611</v>
      </c>
      <c r="Q70" s="15">
        <f t="shared" si="24"/>
        <v>200</v>
      </c>
      <c r="R70" s="6">
        <v>200</v>
      </c>
      <c r="S70" s="2">
        <f t="shared" si="25"/>
        <v>0</v>
      </c>
      <c r="T70" s="2">
        <v>0</v>
      </c>
      <c r="U70" s="3">
        <v>46165.041666666664</v>
      </c>
      <c r="V70" s="3">
        <v>46165.041666666664</v>
      </c>
      <c r="W70" s="3" t="b">
        <f t="shared" si="23"/>
        <v>1</v>
      </c>
      <c r="X70" s="3">
        <v>46165.25</v>
      </c>
      <c r="Y70" s="4">
        <f t="shared" si="26"/>
        <v>0.20833333333575865</v>
      </c>
      <c r="Z70" s="7">
        <v>0.20833333333333334</v>
      </c>
      <c r="AA70" s="4">
        <f t="shared" si="27"/>
        <v>2.4253099528692701E-12</v>
      </c>
      <c r="AB70" s="19">
        <v>145</v>
      </c>
      <c r="AC70" s="19">
        <v>6.9</v>
      </c>
      <c r="AD70" s="20">
        <f t="shared" si="28"/>
        <v>8.4400786359850599E-9</v>
      </c>
      <c r="AE70" s="20">
        <f t="shared" si="29"/>
        <v>0</v>
      </c>
      <c r="AF70" s="20">
        <f t="shared" si="31"/>
        <v>0</v>
      </c>
      <c r="AG70" s="19">
        <v>1380</v>
      </c>
      <c r="AH70" s="20">
        <v>35</v>
      </c>
      <c r="AI70" s="20">
        <f t="shared" si="30"/>
        <v>1415.0000000084401</v>
      </c>
      <c r="AJ70" s="1" t="s">
        <v>365</v>
      </c>
      <c r="AK70" s="1" t="s">
        <v>365</v>
      </c>
      <c r="AL70" s="1"/>
      <c r="AM70" s="1" t="s">
        <v>375</v>
      </c>
      <c r="AN70" s="1"/>
    </row>
    <row r="71" spans="1:40" s="13" customFormat="1" ht="12" customHeight="1" x14ac:dyDescent="0.3">
      <c r="A71" s="8" t="s">
        <v>37</v>
      </c>
      <c r="B71" s="8" t="s">
        <v>38</v>
      </c>
      <c r="C71" s="8" t="s">
        <v>364</v>
      </c>
      <c r="D71" s="8" t="s">
        <v>39</v>
      </c>
      <c r="E71" s="8" t="s">
        <v>50</v>
      </c>
      <c r="F71" s="9">
        <v>179334</v>
      </c>
      <c r="G71" s="9">
        <v>1559319.1559319</v>
      </c>
      <c r="H71" s="9">
        <v>5176</v>
      </c>
      <c r="I71" s="8" t="s">
        <v>201</v>
      </c>
      <c r="J71" s="8" t="s">
        <v>253</v>
      </c>
      <c r="K71" s="8" t="s">
        <v>53</v>
      </c>
      <c r="L71" s="8" t="s">
        <v>54</v>
      </c>
      <c r="M71" s="8" t="s">
        <v>55</v>
      </c>
      <c r="N71" s="8" t="s">
        <v>42</v>
      </c>
      <c r="O71" s="15">
        <v>16235</v>
      </c>
      <c r="P71" s="15">
        <v>16435</v>
      </c>
      <c r="Q71" s="15">
        <f t="shared" si="24"/>
        <v>200</v>
      </c>
      <c r="R71" s="6">
        <v>200</v>
      </c>
      <c r="S71" s="2">
        <f t="shared" si="25"/>
        <v>0</v>
      </c>
      <c r="T71" s="2">
        <v>0</v>
      </c>
      <c r="U71" s="3">
        <v>46166.416666666664</v>
      </c>
      <c r="V71" s="3">
        <v>46166.416666666664</v>
      </c>
      <c r="W71" s="3" t="b">
        <f t="shared" si="23"/>
        <v>1</v>
      </c>
      <c r="X71" s="3">
        <v>46166.625</v>
      </c>
      <c r="Y71" s="4">
        <f t="shared" si="26"/>
        <v>0.20833333333575865</v>
      </c>
      <c r="Z71" s="7">
        <v>0.20833333333333334</v>
      </c>
      <c r="AA71" s="4">
        <f t="shared" si="27"/>
        <v>2.4253099528692701E-12</v>
      </c>
      <c r="AB71" s="19">
        <v>145</v>
      </c>
      <c r="AC71" s="19">
        <v>6.9</v>
      </c>
      <c r="AD71" s="20">
        <f t="shared" si="28"/>
        <v>8.4400786359850599E-9</v>
      </c>
      <c r="AE71" s="20">
        <f t="shared" si="29"/>
        <v>0</v>
      </c>
      <c r="AF71" s="20">
        <f t="shared" si="31"/>
        <v>0</v>
      </c>
      <c r="AG71" s="19">
        <v>1380</v>
      </c>
      <c r="AH71" s="20">
        <v>35</v>
      </c>
      <c r="AI71" s="20">
        <f t="shared" si="30"/>
        <v>1415.0000000084401</v>
      </c>
      <c r="AJ71" s="1" t="s">
        <v>365</v>
      </c>
      <c r="AK71" s="1" t="s">
        <v>365</v>
      </c>
      <c r="AL71" s="1"/>
      <c r="AM71" s="1" t="s">
        <v>375</v>
      </c>
      <c r="AN71" s="1"/>
    </row>
    <row r="72" spans="1:40" s="13" customFormat="1" ht="12" customHeight="1" x14ac:dyDescent="0.3">
      <c r="A72" s="8" t="s">
        <v>37</v>
      </c>
      <c r="B72" s="8" t="s">
        <v>38</v>
      </c>
      <c r="C72" s="8" t="s">
        <v>364</v>
      </c>
      <c r="D72" s="8" t="s">
        <v>39</v>
      </c>
      <c r="E72" s="8" t="s">
        <v>254</v>
      </c>
      <c r="F72" s="9">
        <v>179335</v>
      </c>
      <c r="G72" s="8" t="s">
        <v>255</v>
      </c>
      <c r="H72" s="9">
        <v>5177</v>
      </c>
      <c r="I72" s="8" t="s">
        <v>256</v>
      </c>
      <c r="J72" s="8" t="s">
        <v>257</v>
      </c>
      <c r="K72" s="8" t="s">
        <v>258</v>
      </c>
      <c r="L72" s="8" t="s">
        <v>86</v>
      </c>
      <c r="M72" s="8" t="s">
        <v>251</v>
      </c>
      <c r="N72" s="8" t="s">
        <v>86</v>
      </c>
      <c r="O72" s="15">
        <v>262413</v>
      </c>
      <c r="P72" s="15">
        <v>262616</v>
      </c>
      <c r="Q72" s="15">
        <f t="shared" si="24"/>
        <v>203</v>
      </c>
      <c r="R72" s="6">
        <v>200</v>
      </c>
      <c r="S72" s="2">
        <f t="shared" si="25"/>
        <v>3</v>
      </c>
      <c r="T72" s="2">
        <v>0</v>
      </c>
      <c r="U72" s="3">
        <v>46165.208333333336</v>
      </c>
      <c r="V72" s="3">
        <v>46165.208333333336</v>
      </c>
      <c r="W72" s="3" t="b">
        <f t="shared" si="23"/>
        <v>1</v>
      </c>
      <c r="X72" s="3">
        <v>46165.416666666672</v>
      </c>
      <c r="Y72" s="4">
        <f t="shared" si="26"/>
        <v>0.20833333333575865</v>
      </c>
      <c r="Z72" s="7">
        <v>0.20833333333333334</v>
      </c>
      <c r="AA72" s="4">
        <f t="shared" si="27"/>
        <v>2.4253099528692701E-12</v>
      </c>
      <c r="AB72" s="19">
        <v>145</v>
      </c>
      <c r="AC72" s="19">
        <v>6.9</v>
      </c>
      <c r="AD72" s="20">
        <f t="shared" si="28"/>
        <v>8.4400786359850599E-9</v>
      </c>
      <c r="AE72" s="20">
        <f t="shared" si="29"/>
        <v>20.700000000000003</v>
      </c>
      <c r="AF72" s="20">
        <f t="shared" si="31"/>
        <v>0</v>
      </c>
      <c r="AG72" s="19">
        <v>1380</v>
      </c>
      <c r="AH72" s="20">
        <v>35</v>
      </c>
      <c r="AI72" s="20">
        <f t="shared" si="30"/>
        <v>1435.7000000084402</v>
      </c>
      <c r="AJ72" s="1" t="s">
        <v>365</v>
      </c>
      <c r="AK72" s="1" t="s">
        <v>365</v>
      </c>
      <c r="AL72" s="1"/>
      <c r="AM72" s="1" t="s">
        <v>381</v>
      </c>
      <c r="AN72" s="1"/>
    </row>
    <row r="73" spans="1:40" s="13" customFormat="1" ht="12" customHeight="1" x14ac:dyDescent="0.3">
      <c r="A73" s="8" t="s">
        <v>37</v>
      </c>
      <c r="B73" s="8" t="s">
        <v>38</v>
      </c>
      <c r="C73" s="8" t="s">
        <v>364</v>
      </c>
      <c r="D73" s="8" t="s">
        <v>39</v>
      </c>
      <c r="E73" s="8" t="s">
        <v>87</v>
      </c>
      <c r="F73" s="9">
        <v>179350</v>
      </c>
      <c r="G73" s="9">
        <v>1560196</v>
      </c>
      <c r="H73" s="9">
        <v>5181</v>
      </c>
      <c r="I73" s="8" t="s">
        <v>155</v>
      </c>
      <c r="J73" s="8" t="s">
        <v>259</v>
      </c>
      <c r="K73" s="8" t="s">
        <v>81</v>
      </c>
      <c r="L73" s="8" t="s">
        <v>54</v>
      </c>
      <c r="M73" s="8" t="s">
        <v>96</v>
      </c>
      <c r="N73" s="8" t="s">
        <v>54</v>
      </c>
      <c r="O73" s="15">
        <v>81601</v>
      </c>
      <c r="P73" s="15">
        <v>81663</v>
      </c>
      <c r="Q73" s="15">
        <f t="shared" si="24"/>
        <v>62</v>
      </c>
      <c r="R73" s="6">
        <v>100</v>
      </c>
      <c r="S73" s="2" t="str">
        <f t="shared" si="25"/>
        <v>0</v>
      </c>
      <c r="T73" s="2">
        <v>0</v>
      </c>
      <c r="U73" s="3">
        <v>46165.541666666664</v>
      </c>
      <c r="V73" s="3">
        <v>46165.541666666664</v>
      </c>
      <c r="W73" s="3" t="b">
        <f>V73=U73</f>
        <v>1</v>
      </c>
      <c r="X73" s="3">
        <v>46165.666666666672</v>
      </c>
      <c r="Y73" s="4">
        <f t="shared" si="26"/>
        <v>0.12500000000727596</v>
      </c>
      <c r="Z73" s="7">
        <v>0.125</v>
      </c>
      <c r="AA73" s="4">
        <f t="shared" si="27"/>
        <v>7.2759576141834259E-12</v>
      </c>
      <c r="AB73" s="19">
        <v>145</v>
      </c>
      <c r="AC73" s="19">
        <v>6.9</v>
      </c>
      <c r="AD73" s="20">
        <f t="shared" si="28"/>
        <v>2.5320332497358322E-8</v>
      </c>
      <c r="AE73" s="20">
        <f t="shared" si="29"/>
        <v>0</v>
      </c>
      <c r="AF73" s="20">
        <f t="shared" si="31"/>
        <v>0</v>
      </c>
      <c r="AG73" s="19">
        <v>690</v>
      </c>
      <c r="AH73" s="20">
        <v>0</v>
      </c>
      <c r="AI73" s="20">
        <f t="shared" si="30"/>
        <v>690.00000002532033</v>
      </c>
      <c r="AJ73" s="1" t="s">
        <v>365</v>
      </c>
      <c r="AK73" s="1" t="s">
        <v>365</v>
      </c>
      <c r="AL73" s="1"/>
      <c r="AM73" s="1" t="s">
        <v>375</v>
      </c>
      <c r="AN73" s="1"/>
    </row>
    <row r="74" spans="1:40" s="13" customFormat="1" ht="12" customHeight="1" x14ac:dyDescent="0.3">
      <c r="A74" s="8" t="s">
        <v>37</v>
      </c>
      <c r="B74" s="8" t="s">
        <v>38</v>
      </c>
      <c r="C74" s="8" t="s">
        <v>364</v>
      </c>
      <c r="D74" s="8" t="s">
        <v>39</v>
      </c>
      <c r="E74" s="8" t="s">
        <v>50</v>
      </c>
      <c r="F74" s="9">
        <v>179364</v>
      </c>
      <c r="G74" s="9">
        <v>1559861.1559861</v>
      </c>
      <c r="H74" s="9">
        <v>5182</v>
      </c>
      <c r="I74" s="8" t="s">
        <v>260</v>
      </c>
      <c r="J74" s="8" t="s">
        <v>261</v>
      </c>
      <c r="K74" s="8" t="s">
        <v>59</v>
      </c>
      <c r="L74" s="8" t="s">
        <v>54</v>
      </c>
      <c r="M74" s="8" t="s">
        <v>55</v>
      </c>
      <c r="N74" s="8" t="s">
        <v>42</v>
      </c>
      <c r="O74" s="15">
        <v>78293</v>
      </c>
      <c r="P74" s="15">
        <v>78493</v>
      </c>
      <c r="Q74" s="15">
        <f t="shared" si="24"/>
        <v>200</v>
      </c>
      <c r="R74" s="6">
        <v>200</v>
      </c>
      <c r="S74" s="2">
        <f t="shared" si="25"/>
        <v>0</v>
      </c>
      <c r="T74" s="2">
        <v>0</v>
      </c>
      <c r="U74" s="3">
        <v>46165.729166666664</v>
      </c>
      <c r="V74" s="3">
        <v>46165.729166666664</v>
      </c>
      <c r="W74" s="3" t="b">
        <f t="shared" ref="W74:W78" si="32">U74=V74</f>
        <v>1</v>
      </c>
      <c r="X74" s="3">
        <v>46165.964583333334</v>
      </c>
      <c r="Y74" s="4">
        <f t="shared" si="26"/>
        <v>0.23541666667006211</v>
      </c>
      <c r="Z74" s="7">
        <v>0.20833333333333334</v>
      </c>
      <c r="AA74" s="4">
        <f t="shared" si="27"/>
        <v>2.7083333336728771E-2</v>
      </c>
      <c r="AB74" s="19">
        <v>145</v>
      </c>
      <c r="AC74" s="19">
        <v>6.9</v>
      </c>
      <c r="AD74" s="20">
        <f t="shared" si="28"/>
        <v>94.250000011816127</v>
      </c>
      <c r="AE74" s="20">
        <f t="shared" si="29"/>
        <v>0</v>
      </c>
      <c r="AF74" s="20">
        <f t="shared" si="31"/>
        <v>0</v>
      </c>
      <c r="AG74" s="19">
        <v>1380</v>
      </c>
      <c r="AH74" s="20">
        <v>35</v>
      </c>
      <c r="AI74" s="20">
        <f t="shared" si="30"/>
        <v>1509.2500000118162</v>
      </c>
      <c r="AJ74" s="1" t="s">
        <v>365</v>
      </c>
      <c r="AK74" s="1" t="s">
        <v>365</v>
      </c>
      <c r="AL74" s="1"/>
      <c r="AM74" s="1" t="s">
        <v>375</v>
      </c>
      <c r="AN74" s="1"/>
    </row>
    <row r="75" spans="1:40" s="13" customFormat="1" ht="12" customHeight="1" x14ac:dyDescent="0.3">
      <c r="A75" s="8" t="s">
        <v>37</v>
      </c>
      <c r="B75" s="8" t="s">
        <v>38</v>
      </c>
      <c r="C75" s="8" t="s">
        <v>364</v>
      </c>
      <c r="D75" s="8" t="s">
        <v>39</v>
      </c>
      <c r="E75" s="8" t="s">
        <v>262</v>
      </c>
      <c r="F75" s="9">
        <v>179367</v>
      </c>
      <c r="G75" s="9">
        <v>1560388.1560388</v>
      </c>
      <c r="H75" s="9">
        <v>5183</v>
      </c>
      <c r="I75" s="8" t="s">
        <v>155</v>
      </c>
      <c r="J75" s="8" t="s">
        <v>263</v>
      </c>
      <c r="K75" s="8" t="s">
        <v>108</v>
      </c>
      <c r="L75" s="8" t="s">
        <v>54</v>
      </c>
      <c r="M75" s="8" t="s">
        <v>264</v>
      </c>
      <c r="N75" s="8" t="s">
        <v>86</v>
      </c>
      <c r="O75" s="15">
        <v>81746</v>
      </c>
      <c r="P75" s="15">
        <v>82921</v>
      </c>
      <c r="Q75" s="15">
        <f t="shared" si="24"/>
        <v>1175</v>
      </c>
      <c r="R75" s="6">
        <v>1200</v>
      </c>
      <c r="S75" s="2" t="str">
        <f t="shared" si="25"/>
        <v>0</v>
      </c>
      <c r="T75" s="2">
        <v>0</v>
      </c>
      <c r="U75" s="3">
        <v>46165.758333333331</v>
      </c>
      <c r="V75" s="3">
        <v>46165.758333333331</v>
      </c>
      <c r="W75" s="3" t="b">
        <f t="shared" si="32"/>
        <v>1</v>
      </c>
      <c r="X75" s="3">
        <v>46167.356944444444</v>
      </c>
      <c r="Y75" s="4">
        <f t="shared" si="26"/>
        <v>1.5986111111124046</v>
      </c>
      <c r="Z75" s="7">
        <v>1.25</v>
      </c>
      <c r="AA75" s="4">
        <f t="shared" si="27"/>
        <v>0.34861111111240461</v>
      </c>
      <c r="AB75" s="19">
        <v>145</v>
      </c>
      <c r="AC75" s="19">
        <v>6.9</v>
      </c>
      <c r="AD75" s="20">
        <f t="shared" si="28"/>
        <v>1213.1666666711681</v>
      </c>
      <c r="AE75" s="20">
        <f t="shared" si="29"/>
        <v>0</v>
      </c>
      <c r="AF75" s="20">
        <f t="shared" si="31"/>
        <v>0</v>
      </c>
      <c r="AG75" s="19">
        <v>8280</v>
      </c>
      <c r="AH75" s="20">
        <v>109.8</v>
      </c>
      <c r="AI75" s="20">
        <f t="shared" si="30"/>
        <v>9602.9666666711673</v>
      </c>
      <c r="AJ75" s="1" t="s">
        <v>365</v>
      </c>
      <c r="AK75" s="1" t="s">
        <v>365</v>
      </c>
      <c r="AL75" s="1"/>
      <c r="AM75" s="1" t="s">
        <v>387</v>
      </c>
      <c r="AN75" s="1"/>
    </row>
    <row r="76" spans="1:40" s="13" customFormat="1" ht="12" customHeight="1" x14ac:dyDescent="0.3">
      <c r="A76" s="8" t="s">
        <v>37</v>
      </c>
      <c r="B76" s="8" t="s">
        <v>38</v>
      </c>
      <c r="C76" s="8" t="s">
        <v>364</v>
      </c>
      <c r="D76" s="8" t="s">
        <v>83</v>
      </c>
      <c r="E76" s="8" t="s">
        <v>50</v>
      </c>
      <c r="F76" s="9">
        <v>179370</v>
      </c>
      <c r="G76" s="8" t="s">
        <v>42</v>
      </c>
      <c r="H76" s="9">
        <v>5187</v>
      </c>
      <c r="I76" s="8" t="s">
        <v>265</v>
      </c>
      <c r="J76" s="8" t="s">
        <v>42</v>
      </c>
      <c r="K76" s="8" t="s">
        <v>108</v>
      </c>
      <c r="L76" s="8" t="s">
        <v>54</v>
      </c>
      <c r="M76" s="8" t="s">
        <v>55</v>
      </c>
      <c r="N76" s="8" t="s">
        <v>42</v>
      </c>
      <c r="O76" s="15">
        <v>0</v>
      </c>
      <c r="P76" s="15">
        <v>0</v>
      </c>
      <c r="Q76" s="15">
        <f t="shared" si="24"/>
        <v>0</v>
      </c>
      <c r="R76" s="6">
        <v>100</v>
      </c>
      <c r="S76" s="2" t="str">
        <f t="shared" si="25"/>
        <v>0</v>
      </c>
      <c r="T76" s="2">
        <v>0</v>
      </c>
      <c r="U76" s="3">
        <v>46166.166666666664</v>
      </c>
      <c r="V76" s="3">
        <v>46166.166666666664</v>
      </c>
      <c r="W76" s="3" t="b">
        <f t="shared" si="32"/>
        <v>1</v>
      </c>
      <c r="X76" s="3">
        <v>46166.370833333334</v>
      </c>
      <c r="Y76" s="4">
        <f t="shared" si="26"/>
        <v>0.20416666667006211</v>
      </c>
      <c r="Z76" s="7">
        <v>0.125</v>
      </c>
      <c r="AA76" s="4">
        <f t="shared" si="27"/>
        <v>7.9166666670062114E-2</v>
      </c>
      <c r="AB76" s="19">
        <v>145</v>
      </c>
      <c r="AC76" s="19">
        <v>6.9</v>
      </c>
      <c r="AD76" s="20">
        <f t="shared" si="28"/>
        <v>275.50000001181616</v>
      </c>
      <c r="AE76" s="20">
        <f t="shared" si="29"/>
        <v>0</v>
      </c>
      <c r="AF76" s="20">
        <f t="shared" si="31"/>
        <v>0</v>
      </c>
      <c r="AG76" s="19">
        <v>690</v>
      </c>
      <c r="AH76" s="20">
        <v>0</v>
      </c>
      <c r="AI76" s="20">
        <f t="shared" si="30"/>
        <v>965.50000001181616</v>
      </c>
      <c r="AJ76" s="1" t="s">
        <v>58</v>
      </c>
      <c r="AK76" s="1"/>
      <c r="AL76" s="1"/>
      <c r="AM76" s="1" t="s">
        <v>365</v>
      </c>
      <c r="AN76" s="1"/>
    </row>
    <row r="77" spans="1:40" s="13" customFormat="1" ht="12" customHeight="1" x14ac:dyDescent="0.3">
      <c r="A77" s="8" t="s">
        <v>37</v>
      </c>
      <c r="B77" s="8" t="s">
        <v>38</v>
      </c>
      <c r="C77" s="8" t="s">
        <v>364</v>
      </c>
      <c r="D77" s="8" t="s">
        <v>39</v>
      </c>
      <c r="E77" s="8" t="s">
        <v>50</v>
      </c>
      <c r="F77" s="9">
        <v>179371</v>
      </c>
      <c r="G77" s="9">
        <v>1560413</v>
      </c>
      <c r="H77" s="9">
        <v>5185</v>
      </c>
      <c r="I77" s="8" t="s">
        <v>266</v>
      </c>
      <c r="J77" s="8" t="s">
        <v>42</v>
      </c>
      <c r="K77" s="8" t="s">
        <v>108</v>
      </c>
      <c r="L77" s="8" t="s">
        <v>54</v>
      </c>
      <c r="M77" s="8" t="s">
        <v>55</v>
      </c>
      <c r="N77" s="8" t="s">
        <v>42</v>
      </c>
      <c r="O77" s="15">
        <v>118936</v>
      </c>
      <c r="P77" s="15">
        <v>119136</v>
      </c>
      <c r="Q77" s="15">
        <f t="shared" si="24"/>
        <v>200</v>
      </c>
      <c r="R77" s="6">
        <v>200</v>
      </c>
      <c r="S77" s="2">
        <f t="shared" si="25"/>
        <v>0</v>
      </c>
      <c r="T77" s="2">
        <v>0</v>
      </c>
      <c r="U77" s="3">
        <v>46166.208333333336</v>
      </c>
      <c r="V77" s="3">
        <v>46166.208333333336</v>
      </c>
      <c r="W77" s="3" t="b">
        <f t="shared" si="32"/>
        <v>1</v>
      </c>
      <c r="X77" s="3">
        <v>46166.416666666672</v>
      </c>
      <c r="Y77" s="4">
        <f t="shared" si="26"/>
        <v>0.20833333333575865</v>
      </c>
      <c r="Z77" s="7">
        <v>0.20833333333333334</v>
      </c>
      <c r="AA77" s="4">
        <f t="shared" si="27"/>
        <v>2.4253099528692701E-12</v>
      </c>
      <c r="AB77" s="19">
        <v>145</v>
      </c>
      <c r="AC77" s="19">
        <v>6.9</v>
      </c>
      <c r="AD77" s="20">
        <f t="shared" si="28"/>
        <v>8.4400786359850599E-9</v>
      </c>
      <c r="AE77" s="20">
        <f t="shared" si="29"/>
        <v>0</v>
      </c>
      <c r="AF77" s="20">
        <f t="shared" si="31"/>
        <v>0</v>
      </c>
      <c r="AG77" s="19">
        <v>1380</v>
      </c>
      <c r="AH77" s="20">
        <v>35</v>
      </c>
      <c r="AI77" s="20">
        <f t="shared" si="30"/>
        <v>1415.0000000084401</v>
      </c>
      <c r="AJ77" s="1" t="s">
        <v>365</v>
      </c>
      <c r="AK77" s="1" t="s">
        <v>365</v>
      </c>
      <c r="AL77" s="1"/>
      <c r="AM77" s="1" t="s">
        <v>375</v>
      </c>
      <c r="AN77" s="1"/>
    </row>
    <row r="78" spans="1:40" s="13" customFormat="1" ht="12" customHeight="1" x14ac:dyDescent="0.3">
      <c r="A78" s="8" t="s">
        <v>37</v>
      </c>
      <c r="B78" s="8" t="s">
        <v>38</v>
      </c>
      <c r="C78" s="8" t="s">
        <v>364</v>
      </c>
      <c r="D78" s="8" t="s">
        <v>39</v>
      </c>
      <c r="E78" s="8" t="s">
        <v>231</v>
      </c>
      <c r="F78" s="9">
        <v>179372</v>
      </c>
      <c r="G78" s="9">
        <v>1560418</v>
      </c>
      <c r="H78" s="9">
        <v>5186</v>
      </c>
      <c r="I78" s="8" t="s">
        <v>267</v>
      </c>
      <c r="J78" s="8" t="s">
        <v>268</v>
      </c>
      <c r="K78" s="8" t="s">
        <v>108</v>
      </c>
      <c r="L78" s="8" t="s">
        <v>54</v>
      </c>
      <c r="M78" s="8" t="s">
        <v>239</v>
      </c>
      <c r="N78" s="8" t="s">
        <v>77</v>
      </c>
      <c r="O78" s="15">
        <v>221488</v>
      </c>
      <c r="P78" s="15">
        <v>222671</v>
      </c>
      <c r="Q78" s="15">
        <f t="shared" si="24"/>
        <v>1183</v>
      </c>
      <c r="R78" s="6">
        <v>1200</v>
      </c>
      <c r="S78" s="2" t="str">
        <f t="shared" si="25"/>
        <v>0</v>
      </c>
      <c r="T78" s="2">
        <v>0</v>
      </c>
      <c r="U78" s="3">
        <v>46165.834027777775</v>
      </c>
      <c r="V78" s="3">
        <v>46165.834027777775</v>
      </c>
      <c r="W78" s="3" t="b">
        <f t="shared" si="32"/>
        <v>1</v>
      </c>
      <c r="X78" s="3">
        <v>46167.380555555559</v>
      </c>
      <c r="Y78" s="4">
        <f t="shared" si="26"/>
        <v>1.5465277777839219</v>
      </c>
      <c r="Z78" s="7">
        <v>1.25</v>
      </c>
      <c r="AA78" s="4">
        <f t="shared" si="27"/>
        <v>0.29652777778392192</v>
      </c>
      <c r="AB78" s="19">
        <v>145</v>
      </c>
      <c r="AC78" s="19">
        <v>6.9</v>
      </c>
      <c r="AD78" s="20">
        <f t="shared" si="28"/>
        <v>1031.9166666880483</v>
      </c>
      <c r="AE78" s="20">
        <f t="shared" si="29"/>
        <v>0</v>
      </c>
      <c r="AF78" s="20">
        <f t="shared" si="31"/>
        <v>0</v>
      </c>
      <c r="AG78" s="19">
        <v>8280</v>
      </c>
      <c r="AH78" s="20">
        <v>138.5</v>
      </c>
      <c r="AI78" s="20">
        <f t="shared" si="30"/>
        <v>9450.4166666880483</v>
      </c>
      <c r="AJ78" s="1" t="s">
        <v>365</v>
      </c>
      <c r="AK78" s="1" t="s">
        <v>365</v>
      </c>
      <c r="AL78" s="1"/>
      <c r="AM78" s="1" t="s">
        <v>386</v>
      </c>
      <c r="AN78" s="1"/>
    </row>
    <row r="79" spans="1:40" s="13" customFormat="1" ht="12" customHeight="1" x14ac:dyDescent="0.3">
      <c r="A79" s="8" t="s">
        <v>37</v>
      </c>
      <c r="B79" s="8" t="s">
        <v>38</v>
      </c>
      <c r="C79" s="8" t="s">
        <v>364</v>
      </c>
      <c r="D79" s="8" t="s">
        <v>39</v>
      </c>
      <c r="E79" s="8" t="s">
        <v>50</v>
      </c>
      <c r="F79" s="9">
        <v>179383</v>
      </c>
      <c r="G79" s="9">
        <v>1560259</v>
      </c>
      <c r="H79" s="9">
        <v>5189</v>
      </c>
      <c r="I79" s="8" t="s">
        <v>201</v>
      </c>
      <c r="J79" s="8" t="s">
        <v>269</v>
      </c>
      <c r="K79" s="8" t="s">
        <v>53</v>
      </c>
      <c r="L79" s="8" t="s">
        <v>54</v>
      </c>
      <c r="M79" s="8" t="s">
        <v>55</v>
      </c>
      <c r="N79" s="8" t="s">
        <v>42</v>
      </c>
      <c r="O79" s="15">
        <v>78707</v>
      </c>
      <c r="P79" s="15">
        <v>78784</v>
      </c>
      <c r="Q79" s="15">
        <f t="shared" si="24"/>
        <v>77</v>
      </c>
      <c r="R79" s="6">
        <v>100</v>
      </c>
      <c r="S79" s="2" t="str">
        <f t="shared" si="25"/>
        <v>0</v>
      </c>
      <c r="T79" s="2">
        <v>0</v>
      </c>
      <c r="U79" s="3">
        <v>46166.75</v>
      </c>
      <c r="V79" s="3">
        <v>46166.75</v>
      </c>
      <c r="W79" s="3" t="b">
        <f>V79=U79</f>
        <v>1</v>
      </c>
      <c r="X79" s="3">
        <v>46166.928472222222</v>
      </c>
      <c r="Y79" s="4">
        <f t="shared" si="26"/>
        <v>0.17847222222189885</v>
      </c>
      <c r="Z79" s="7">
        <v>0.125</v>
      </c>
      <c r="AA79" s="4">
        <f t="shared" si="27"/>
        <v>5.3472222221898846E-2</v>
      </c>
      <c r="AB79" s="19">
        <v>145</v>
      </c>
      <c r="AC79" s="19">
        <v>6.9</v>
      </c>
      <c r="AD79" s="20">
        <f t="shared" si="28"/>
        <v>186.08333333220799</v>
      </c>
      <c r="AE79" s="20">
        <f t="shared" si="29"/>
        <v>0</v>
      </c>
      <c r="AF79" s="20">
        <f t="shared" si="31"/>
        <v>0</v>
      </c>
      <c r="AG79" s="19">
        <v>690</v>
      </c>
      <c r="AH79" s="20">
        <v>10.9</v>
      </c>
      <c r="AI79" s="20">
        <f t="shared" si="30"/>
        <v>886.98333333220796</v>
      </c>
      <c r="AJ79" s="1" t="s">
        <v>365</v>
      </c>
      <c r="AK79" s="1" t="s">
        <v>365</v>
      </c>
      <c r="AL79" s="1"/>
      <c r="AM79" s="1" t="s">
        <v>375</v>
      </c>
      <c r="AN79" s="1"/>
    </row>
    <row r="80" spans="1:40" s="13" customFormat="1" ht="12" customHeight="1" x14ac:dyDescent="0.3">
      <c r="A80" s="8" t="s">
        <v>37</v>
      </c>
      <c r="B80" s="8" t="s">
        <v>38</v>
      </c>
      <c r="C80" s="8" t="s">
        <v>364</v>
      </c>
      <c r="D80" s="8" t="s">
        <v>83</v>
      </c>
      <c r="E80" s="8" t="s">
        <v>103</v>
      </c>
      <c r="F80" s="9">
        <v>179387</v>
      </c>
      <c r="G80" s="8" t="s">
        <v>42</v>
      </c>
      <c r="H80" s="9">
        <v>5190</v>
      </c>
      <c r="I80" s="8" t="s">
        <v>270</v>
      </c>
      <c r="J80" s="8" t="s">
        <v>271</v>
      </c>
      <c r="K80" s="8" t="s">
        <v>272</v>
      </c>
      <c r="L80" s="8" t="s">
        <v>44</v>
      </c>
      <c r="M80" s="8" t="s">
        <v>82</v>
      </c>
      <c r="N80" s="8" t="s">
        <v>54</v>
      </c>
      <c r="O80" s="15">
        <v>0</v>
      </c>
      <c r="P80" s="15">
        <v>0</v>
      </c>
      <c r="Q80" s="15">
        <f t="shared" si="24"/>
        <v>0</v>
      </c>
      <c r="R80" s="6">
        <v>100</v>
      </c>
      <c r="S80" s="2" t="str">
        <f t="shared" si="25"/>
        <v>0</v>
      </c>
      <c r="T80" s="2">
        <v>0</v>
      </c>
      <c r="U80" s="3">
        <v>46166.75</v>
      </c>
      <c r="V80" s="3">
        <v>46166.690972222219</v>
      </c>
      <c r="W80" s="3" t="b">
        <f t="shared" ref="W80:W85" si="33">U80=V80</f>
        <v>0</v>
      </c>
      <c r="X80" s="3">
        <v>46166.875</v>
      </c>
      <c r="Y80" s="4">
        <f t="shared" si="26"/>
        <v>0.125</v>
      </c>
      <c r="Z80" s="7">
        <v>0.125</v>
      </c>
      <c r="AA80" s="4">
        <f t="shared" si="27"/>
        <v>0</v>
      </c>
      <c r="AB80" s="19">
        <v>145</v>
      </c>
      <c r="AC80" s="19">
        <v>7.35</v>
      </c>
      <c r="AD80" s="20">
        <f t="shared" si="28"/>
        <v>0</v>
      </c>
      <c r="AE80" s="20">
        <f t="shared" si="29"/>
        <v>0</v>
      </c>
      <c r="AF80" s="20">
        <f t="shared" si="31"/>
        <v>0</v>
      </c>
      <c r="AG80" s="19">
        <v>735</v>
      </c>
      <c r="AH80" s="20">
        <v>0</v>
      </c>
      <c r="AI80" s="20">
        <f t="shared" si="30"/>
        <v>735</v>
      </c>
      <c r="AJ80" s="1" t="s">
        <v>58</v>
      </c>
      <c r="AK80" s="1"/>
      <c r="AL80" s="1"/>
      <c r="AM80" s="1" t="s">
        <v>365</v>
      </c>
      <c r="AN80" s="1"/>
    </row>
    <row r="81" spans="1:40" s="14" customFormat="1" ht="12" customHeight="1" x14ac:dyDescent="0.3">
      <c r="A81" s="8" t="s">
        <v>37</v>
      </c>
      <c r="B81" s="8" t="s">
        <v>273</v>
      </c>
      <c r="C81" s="8" t="s">
        <v>364</v>
      </c>
      <c r="D81" s="8" t="s">
        <v>39</v>
      </c>
      <c r="E81" s="8" t="s">
        <v>262</v>
      </c>
      <c r="F81" s="9">
        <v>179397</v>
      </c>
      <c r="G81" s="9">
        <v>1560701.1560700999</v>
      </c>
      <c r="H81" s="9">
        <v>5201</v>
      </c>
      <c r="I81" s="8" t="s">
        <v>122</v>
      </c>
      <c r="J81" s="8" t="s">
        <v>274</v>
      </c>
      <c r="K81" s="16" t="s">
        <v>108</v>
      </c>
      <c r="L81" s="16" t="s">
        <v>54</v>
      </c>
      <c r="M81" s="16" t="s">
        <v>264</v>
      </c>
      <c r="N81" s="8" t="s">
        <v>86</v>
      </c>
      <c r="O81" s="15">
        <v>199918</v>
      </c>
      <c r="P81" s="15">
        <v>200518</v>
      </c>
      <c r="Q81" s="15">
        <f t="shared" si="24"/>
        <v>600</v>
      </c>
      <c r="R81" s="6">
        <v>600</v>
      </c>
      <c r="S81" s="2">
        <f t="shared" si="25"/>
        <v>0</v>
      </c>
      <c r="T81" s="2">
        <v>0</v>
      </c>
      <c r="U81" s="3">
        <v>46167.145833333336</v>
      </c>
      <c r="V81" s="3">
        <v>46167.149305555555</v>
      </c>
      <c r="W81" s="3" t="b">
        <f t="shared" si="33"/>
        <v>0</v>
      </c>
      <c r="X81" s="3">
        <v>46168.339583333334</v>
      </c>
      <c r="Y81" s="4">
        <f t="shared" si="26"/>
        <v>1.1937499999985448</v>
      </c>
      <c r="Z81" s="7">
        <v>0.625</v>
      </c>
      <c r="AA81" s="4">
        <f t="shared" si="27"/>
        <v>0.56874999999854481</v>
      </c>
      <c r="AB81" s="19">
        <v>145</v>
      </c>
      <c r="AC81" s="19">
        <v>6.9</v>
      </c>
      <c r="AD81" s="20">
        <f t="shared" si="28"/>
        <v>1979.2499999949359</v>
      </c>
      <c r="AE81" s="20">
        <f t="shared" si="29"/>
        <v>0</v>
      </c>
      <c r="AF81" s="20">
        <f t="shared" si="31"/>
        <v>0</v>
      </c>
      <c r="AG81" s="19">
        <v>4140</v>
      </c>
      <c r="AH81" s="20">
        <v>29.6</v>
      </c>
      <c r="AI81" s="20">
        <f t="shared" si="30"/>
        <v>6148.8499999949363</v>
      </c>
      <c r="AJ81" s="1" t="s">
        <v>365</v>
      </c>
      <c r="AK81" s="1" t="s">
        <v>365</v>
      </c>
      <c r="AL81" s="1" t="s">
        <v>370</v>
      </c>
      <c r="AM81" s="1" t="s">
        <v>378</v>
      </c>
      <c r="AN81" s="1"/>
    </row>
    <row r="82" spans="1:40" s="14" customFormat="1" ht="12" customHeight="1" x14ac:dyDescent="0.3">
      <c r="A82" s="8" t="s">
        <v>37</v>
      </c>
      <c r="B82" s="8" t="s">
        <v>273</v>
      </c>
      <c r="C82" s="8" t="s">
        <v>364</v>
      </c>
      <c r="D82" s="8" t="s">
        <v>39</v>
      </c>
      <c r="E82" s="8" t="s">
        <v>275</v>
      </c>
      <c r="F82" s="9">
        <v>179398</v>
      </c>
      <c r="G82" s="9">
        <v>1560658.1560658</v>
      </c>
      <c r="H82" s="9">
        <v>5202</v>
      </c>
      <c r="I82" s="8" t="s">
        <v>139</v>
      </c>
      <c r="J82" s="8" t="s">
        <v>276</v>
      </c>
      <c r="K82" s="16" t="s">
        <v>183</v>
      </c>
      <c r="L82" s="8" t="s">
        <v>77</v>
      </c>
      <c r="M82" s="16" t="s">
        <v>55</v>
      </c>
      <c r="N82" s="8" t="s">
        <v>77</v>
      </c>
      <c r="O82" s="15">
        <v>251669</v>
      </c>
      <c r="P82" s="15">
        <v>251702</v>
      </c>
      <c r="Q82" s="15">
        <f t="shared" si="24"/>
        <v>33</v>
      </c>
      <c r="R82" s="6">
        <v>100</v>
      </c>
      <c r="S82" s="2" t="str">
        <f t="shared" si="25"/>
        <v>0</v>
      </c>
      <c r="T82" s="2">
        <v>0</v>
      </c>
      <c r="U82" s="3">
        <v>46167.291666666664</v>
      </c>
      <c r="V82" s="3">
        <v>46167.291666666664</v>
      </c>
      <c r="W82" s="3" t="b">
        <f t="shared" si="33"/>
        <v>1</v>
      </c>
      <c r="X82" s="3">
        <v>46167.416666666672</v>
      </c>
      <c r="Y82" s="4">
        <f t="shared" si="26"/>
        <v>0.12500000000727596</v>
      </c>
      <c r="Z82" s="7">
        <v>0.125</v>
      </c>
      <c r="AA82" s="4">
        <f t="shared" si="27"/>
        <v>7.2759576141834259E-12</v>
      </c>
      <c r="AB82" s="19">
        <v>145</v>
      </c>
      <c r="AC82" s="19">
        <v>7.35</v>
      </c>
      <c r="AD82" s="20">
        <f t="shared" si="28"/>
        <v>2.5320332497358322E-8</v>
      </c>
      <c r="AE82" s="20">
        <f t="shared" si="29"/>
        <v>0</v>
      </c>
      <c r="AF82" s="20">
        <f t="shared" si="31"/>
        <v>0</v>
      </c>
      <c r="AG82" s="19">
        <v>735</v>
      </c>
      <c r="AH82" s="20">
        <v>0</v>
      </c>
      <c r="AI82" s="20">
        <f t="shared" si="30"/>
        <v>735.00000002532033</v>
      </c>
      <c r="AJ82" s="1" t="s">
        <v>365</v>
      </c>
      <c r="AK82" s="1" t="s">
        <v>365</v>
      </c>
      <c r="AL82" s="1"/>
      <c r="AM82" s="1" t="s">
        <v>375</v>
      </c>
      <c r="AN82" s="1"/>
    </row>
    <row r="83" spans="1:40" s="14" customFormat="1" ht="12" customHeight="1" x14ac:dyDescent="0.3">
      <c r="A83" s="8" t="s">
        <v>37</v>
      </c>
      <c r="B83" s="8" t="s">
        <v>273</v>
      </c>
      <c r="C83" s="8" t="s">
        <v>364</v>
      </c>
      <c r="D83" s="8" t="s">
        <v>39</v>
      </c>
      <c r="E83" s="8" t="s">
        <v>73</v>
      </c>
      <c r="F83" s="9">
        <v>179399</v>
      </c>
      <c r="G83" s="9">
        <v>1560762</v>
      </c>
      <c r="H83" s="9">
        <v>5203</v>
      </c>
      <c r="I83" s="8" t="s">
        <v>228</v>
      </c>
      <c r="J83" s="8" t="s">
        <v>140</v>
      </c>
      <c r="K83" s="16" t="s">
        <v>76</v>
      </c>
      <c r="L83" s="8" t="s">
        <v>77</v>
      </c>
      <c r="M83" s="16" t="s">
        <v>78</v>
      </c>
      <c r="N83" s="8" t="s">
        <v>77</v>
      </c>
      <c r="O83" s="15">
        <v>280516</v>
      </c>
      <c r="P83" s="15">
        <v>280548</v>
      </c>
      <c r="Q83" s="15">
        <f t="shared" si="24"/>
        <v>32</v>
      </c>
      <c r="R83" s="6">
        <v>100</v>
      </c>
      <c r="S83" s="2" t="str">
        <f t="shared" si="25"/>
        <v>0</v>
      </c>
      <c r="T83" s="2">
        <v>0</v>
      </c>
      <c r="U83" s="3">
        <v>46167.270833333336</v>
      </c>
      <c r="V83" s="3">
        <v>46167.27144675926</v>
      </c>
      <c r="W83" s="3" t="b">
        <f t="shared" si="33"/>
        <v>0</v>
      </c>
      <c r="X83" s="3">
        <v>46167.395833333328</v>
      </c>
      <c r="Y83" s="4">
        <f t="shared" si="26"/>
        <v>0.12499999999272404</v>
      </c>
      <c r="Z83" s="7">
        <v>0.125</v>
      </c>
      <c r="AA83" s="4" t="str">
        <f t="shared" si="27"/>
        <v>00:00:00</v>
      </c>
      <c r="AB83" s="19">
        <v>145</v>
      </c>
      <c r="AC83" s="19">
        <v>7.35</v>
      </c>
      <c r="AD83" s="20">
        <f t="shared" si="28"/>
        <v>0</v>
      </c>
      <c r="AE83" s="20">
        <f t="shared" si="29"/>
        <v>0</v>
      </c>
      <c r="AF83" s="20">
        <f t="shared" si="31"/>
        <v>0</v>
      </c>
      <c r="AG83" s="19">
        <v>735</v>
      </c>
      <c r="AH83" s="20">
        <v>0</v>
      </c>
      <c r="AI83" s="20">
        <f t="shared" si="30"/>
        <v>735</v>
      </c>
      <c r="AJ83" s="1" t="s">
        <v>365</v>
      </c>
      <c r="AK83" s="1" t="s">
        <v>365</v>
      </c>
      <c r="AL83" s="1"/>
      <c r="AM83" s="1" t="s">
        <v>370</v>
      </c>
      <c r="AN83" s="1"/>
    </row>
    <row r="84" spans="1:40" s="14" customFormat="1" ht="12" customHeight="1" x14ac:dyDescent="0.3">
      <c r="A84" s="8" t="s">
        <v>37</v>
      </c>
      <c r="B84" s="8" t="s">
        <v>273</v>
      </c>
      <c r="C84" s="8" t="s">
        <v>364</v>
      </c>
      <c r="D84" s="8" t="s">
        <v>39</v>
      </c>
      <c r="E84" s="8" t="s">
        <v>73</v>
      </c>
      <c r="F84" s="9">
        <v>179400</v>
      </c>
      <c r="G84" s="9">
        <v>1560766.1560766001</v>
      </c>
      <c r="H84" s="9">
        <v>5206</v>
      </c>
      <c r="I84" s="8" t="s">
        <v>228</v>
      </c>
      <c r="J84" s="8" t="s">
        <v>277</v>
      </c>
      <c r="K84" s="16" t="s">
        <v>76</v>
      </c>
      <c r="L84" s="8" t="s">
        <v>77</v>
      </c>
      <c r="M84" s="16" t="s">
        <v>78</v>
      </c>
      <c r="N84" s="8" t="s">
        <v>77</v>
      </c>
      <c r="O84" s="15">
        <v>280580</v>
      </c>
      <c r="P84" s="15">
        <v>280612</v>
      </c>
      <c r="Q84" s="15">
        <f t="shared" si="24"/>
        <v>32</v>
      </c>
      <c r="R84" s="6">
        <v>100</v>
      </c>
      <c r="S84" s="2" t="str">
        <f t="shared" si="25"/>
        <v>0</v>
      </c>
      <c r="T84" s="2">
        <v>0</v>
      </c>
      <c r="U84" s="3">
        <v>46167.416666666664</v>
      </c>
      <c r="V84" s="3">
        <v>46167.270972222221</v>
      </c>
      <c r="W84" s="3" t="b">
        <f t="shared" si="33"/>
        <v>0</v>
      </c>
      <c r="X84" s="3">
        <v>46167.541666666672</v>
      </c>
      <c r="Y84" s="4">
        <f t="shared" si="26"/>
        <v>0.12500000000727596</v>
      </c>
      <c r="Z84" s="7">
        <v>0.125</v>
      </c>
      <c r="AA84" s="4">
        <f t="shared" si="27"/>
        <v>7.2759576141834259E-12</v>
      </c>
      <c r="AB84" s="19">
        <v>145</v>
      </c>
      <c r="AC84" s="19">
        <v>7.35</v>
      </c>
      <c r="AD84" s="20">
        <f t="shared" si="28"/>
        <v>2.5320332497358322E-8</v>
      </c>
      <c r="AE84" s="20">
        <f t="shared" si="29"/>
        <v>0</v>
      </c>
      <c r="AF84" s="20">
        <f t="shared" si="31"/>
        <v>0</v>
      </c>
      <c r="AG84" s="19">
        <v>735</v>
      </c>
      <c r="AH84" s="20">
        <v>0</v>
      </c>
      <c r="AI84" s="20">
        <f t="shared" si="30"/>
        <v>735.00000002532033</v>
      </c>
      <c r="AJ84" s="1" t="s">
        <v>365</v>
      </c>
      <c r="AK84" s="1" t="s">
        <v>365</v>
      </c>
      <c r="AL84" s="1"/>
      <c r="AM84" s="1" t="s">
        <v>370</v>
      </c>
      <c r="AN84" s="1"/>
    </row>
    <row r="85" spans="1:40" s="14" customFormat="1" ht="12" customHeight="1" x14ac:dyDescent="0.3">
      <c r="A85" s="8" t="s">
        <v>37</v>
      </c>
      <c r="B85" s="8" t="s">
        <v>273</v>
      </c>
      <c r="C85" s="8" t="s">
        <v>364</v>
      </c>
      <c r="D85" s="8" t="s">
        <v>39</v>
      </c>
      <c r="E85" s="8" t="s">
        <v>73</v>
      </c>
      <c r="F85" s="9">
        <v>179401</v>
      </c>
      <c r="G85" s="9">
        <v>1560766.1560766001</v>
      </c>
      <c r="H85" s="9">
        <v>5207</v>
      </c>
      <c r="I85" s="8" t="s">
        <v>139</v>
      </c>
      <c r="J85" s="8" t="s">
        <v>277</v>
      </c>
      <c r="K85" s="16" t="s">
        <v>76</v>
      </c>
      <c r="L85" s="8" t="s">
        <v>77</v>
      </c>
      <c r="M85" s="16" t="s">
        <v>78</v>
      </c>
      <c r="N85" s="8" t="s">
        <v>77</v>
      </c>
      <c r="O85" s="15">
        <v>251756</v>
      </c>
      <c r="P85" s="15">
        <v>251788</v>
      </c>
      <c r="Q85" s="15">
        <f t="shared" si="24"/>
        <v>32</v>
      </c>
      <c r="R85" s="6">
        <v>100</v>
      </c>
      <c r="S85" s="2" t="str">
        <f t="shared" si="25"/>
        <v>0</v>
      </c>
      <c r="T85" s="2">
        <v>0</v>
      </c>
      <c r="U85" s="3">
        <v>46167.416666666664</v>
      </c>
      <c r="V85" s="3">
        <v>46167.271134259259</v>
      </c>
      <c r="W85" s="3" t="b">
        <f t="shared" si="33"/>
        <v>0</v>
      </c>
      <c r="X85" s="3">
        <v>46167.541666666672</v>
      </c>
      <c r="Y85" s="4">
        <f t="shared" si="26"/>
        <v>0.12500000000727596</v>
      </c>
      <c r="Z85" s="7">
        <v>0.125</v>
      </c>
      <c r="AA85" s="4">
        <f t="shared" si="27"/>
        <v>7.2759576141834259E-12</v>
      </c>
      <c r="AB85" s="19">
        <v>145</v>
      </c>
      <c r="AC85" s="19">
        <v>7.35</v>
      </c>
      <c r="AD85" s="20">
        <f t="shared" si="28"/>
        <v>2.5320332497358322E-8</v>
      </c>
      <c r="AE85" s="20">
        <f t="shared" si="29"/>
        <v>0</v>
      </c>
      <c r="AF85" s="20">
        <f t="shared" si="31"/>
        <v>0</v>
      </c>
      <c r="AG85" s="19">
        <v>735</v>
      </c>
      <c r="AH85" s="20">
        <v>0</v>
      </c>
      <c r="AI85" s="20">
        <f t="shared" si="30"/>
        <v>735.00000002532033</v>
      </c>
      <c r="AJ85" s="1" t="s">
        <v>365</v>
      </c>
      <c r="AK85" s="1" t="s">
        <v>365</v>
      </c>
      <c r="AL85" s="1"/>
      <c r="AM85" s="1" t="s">
        <v>370</v>
      </c>
      <c r="AN85" s="1"/>
    </row>
    <row r="86" spans="1:40" s="14" customFormat="1" ht="12" customHeight="1" x14ac:dyDescent="0.3">
      <c r="A86" s="8" t="s">
        <v>37</v>
      </c>
      <c r="B86" s="8" t="s">
        <v>273</v>
      </c>
      <c r="C86" s="8" t="s">
        <v>364</v>
      </c>
      <c r="D86" s="8" t="s">
        <v>39</v>
      </c>
      <c r="E86" s="8" t="s">
        <v>50</v>
      </c>
      <c r="F86" s="9">
        <v>179427</v>
      </c>
      <c r="G86" s="9">
        <v>1561473</v>
      </c>
      <c r="H86" s="9">
        <v>5214</v>
      </c>
      <c r="I86" s="8" t="s">
        <v>260</v>
      </c>
      <c r="J86" s="8" t="s">
        <v>278</v>
      </c>
      <c r="K86" s="16" t="s">
        <v>279</v>
      </c>
      <c r="L86" s="16" t="s">
        <v>54</v>
      </c>
      <c r="M86" s="16" t="s">
        <v>59</v>
      </c>
      <c r="N86" s="8" t="s">
        <v>54</v>
      </c>
      <c r="O86" s="15">
        <v>79001</v>
      </c>
      <c r="P86" s="15">
        <v>79055</v>
      </c>
      <c r="Q86" s="15">
        <f t="shared" si="24"/>
        <v>54</v>
      </c>
      <c r="R86" s="6">
        <v>100</v>
      </c>
      <c r="S86" s="2" t="str">
        <f t="shared" si="25"/>
        <v>0</v>
      </c>
      <c r="T86" s="2">
        <v>0</v>
      </c>
      <c r="U86" s="3">
        <v>46167.583333333336</v>
      </c>
      <c r="V86" s="3">
        <v>46167.583333333336</v>
      </c>
      <c r="W86" s="3" t="b">
        <f t="shared" ref="W86:W89" si="34">V86=U86</f>
        <v>1</v>
      </c>
      <c r="X86" s="3">
        <v>46167.80069444445</v>
      </c>
      <c r="Y86" s="4">
        <f t="shared" si="26"/>
        <v>0.21736111111385981</v>
      </c>
      <c r="Z86" s="7">
        <v>0.125</v>
      </c>
      <c r="AA86" s="4">
        <f t="shared" si="27"/>
        <v>9.2361111113859806E-2</v>
      </c>
      <c r="AB86" s="19">
        <v>145</v>
      </c>
      <c r="AC86" s="19">
        <v>6.9</v>
      </c>
      <c r="AD86" s="20">
        <f t="shared" si="28"/>
        <v>321.41666667623213</v>
      </c>
      <c r="AE86" s="20">
        <f t="shared" si="29"/>
        <v>0</v>
      </c>
      <c r="AF86" s="20">
        <f t="shared" si="31"/>
        <v>0</v>
      </c>
      <c r="AG86" s="19">
        <v>689.99999999999989</v>
      </c>
      <c r="AH86" s="20">
        <v>5.9</v>
      </c>
      <c r="AI86" s="20">
        <f t="shared" si="30"/>
        <v>1017.316666676232</v>
      </c>
      <c r="AJ86" s="1" t="s">
        <v>365</v>
      </c>
      <c r="AK86" s="1" t="s">
        <v>365</v>
      </c>
      <c r="AL86" s="1"/>
      <c r="AM86" s="1" t="s">
        <v>375</v>
      </c>
      <c r="AN86" s="1"/>
    </row>
    <row r="87" spans="1:40" s="14" customFormat="1" ht="12" customHeight="1" x14ac:dyDescent="0.3">
      <c r="A87" s="8" t="s">
        <v>37</v>
      </c>
      <c r="B87" s="8" t="s">
        <v>273</v>
      </c>
      <c r="C87" s="8" t="s">
        <v>364</v>
      </c>
      <c r="D87" s="8" t="s">
        <v>39</v>
      </c>
      <c r="E87" s="8" t="s">
        <v>280</v>
      </c>
      <c r="F87" s="9">
        <v>179438</v>
      </c>
      <c r="G87" s="9">
        <v>1562578</v>
      </c>
      <c r="H87" s="9">
        <v>5223</v>
      </c>
      <c r="I87" s="8" t="s">
        <v>281</v>
      </c>
      <c r="J87" s="8" t="s">
        <v>282</v>
      </c>
      <c r="K87" s="16" t="s">
        <v>283</v>
      </c>
      <c r="L87" s="16" t="s">
        <v>54</v>
      </c>
      <c r="M87" s="16" t="s">
        <v>284</v>
      </c>
      <c r="N87" s="8" t="s">
        <v>54</v>
      </c>
      <c r="O87" s="15">
        <v>45546</v>
      </c>
      <c r="P87" s="15">
        <v>45582</v>
      </c>
      <c r="Q87" s="15">
        <f t="shared" si="24"/>
        <v>36</v>
      </c>
      <c r="R87" s="6">
        <v>100</v>
      </c>
      <c r="S87" s="2" t="str">
        <f t="shared" si="25"/>
        <v>0</v>
      </c>
      <c r="T87" s="2">
        <v>0</v>
      </c>
      <c r="U87" s="3">
        <v>46168.395833333336</v>
      </c>
      <c r="V87" s="3">
        <v>46168.395833333336</v>
      </c>
      <c r="W87" s="3" t="b">
        <f t="shared" si="34"/>
        <v>1</v>
      </c>
      <c r="X87" s="3">
        <v>46168.520833333328</v>
      </c>
      <c r="Y87" s="4">
        <f t="shared" si="26"/>
        <v>0.12499999999272404</v>
      </c>
      <c r="Z87" s="7">
        <v>0.125</v>
      </c>
      <c r="AA87" s="4" t="str">
        <f t="shared" si="27"/>
        <v>00:00:00</v>
      </c>
      <c r="AB87" s="19">
        <v>145</v>
      </c>
      <c r="AC87" s="19">
        <v>6.9</v>
      </c>
      <c r="AD87" s="20">
        <f t="shared" si="28"/>
        <v>0</v>
      </c>
      <c r="AE87" s="20">
        <f t="shared" si="29"/>
        <v>0</v>
      </c>
      <c r="AF87" s="20">
        <f t="shared" si="31"/>
        <v>0</v>
      </c>
      <c r="AG87" s="19">
        <v>690</v>
      </c>
      <c r="AH87" s="20">
        <v>0</v>
      </c>
      <c r="AI87" s="20">
        <f t="shared" si="30"/>
        <v>690</v>
      </c>
      <c r="AJ87" s="1" t="s">
        <v>365</v>
      </c>
      <c r="AK87" s="1" t="s">
        <v>365</v>
      </c>
      <c r="AL87" s="1"/>
      <c r="AM87" s="1" t="s">
        <v>375</v>
      </c>
      <c r="AN87" s="1"/>
    </row>
    <row r="88" spans="1:40" s="14" customFormat="1" ht="12" customHeight="1" x14ac:dyDescent="0.3">
      <c r="A88" s="8" t="s">
        <v>37</v>
      </c>
      <c r="B88" s="8" t="s">
        <v>273</v>
      </c>
      <c r="C88" s="8" t="s">
        <v>364</v>
      </c>
      <c r="D88" s="8" t="s">
        <v>39</v>
      </c>
      <c r="E88" s="8" t="s">
        <v>280</v>
      </c>
      <c r="F88" s="9">
        <v>179440</v>
      </c>
      <c r="G88" s="9">
        <v>1562546</v>
      </c>
      <c r="H88" s="9">
        <v>5224</v>
      </c>
      <c r="I88" s="8" t="s">
        <v>285</v>
      </c>
      <c r="J88" s="8" t="s">
        <v>286</v>
      </c>
      <c r="K88" s="16" t="s">
        <v>283</v>
      </c>
      <c r="L88" s="16" t="s">
        <v>54</v>
      </c>
      <c r="M88" s="16" t="s">
        <v>287</v>
      </c>
      <c r="N88" s="8" t="s">
        <v>54</v>
      </c>
      <c r="O88" s="15">
        <v>25003</v>
      </c>
      <c r="P88" s="15">
        <v>25049</v>
      </c>
      <c r="Q88" s="15">
        <f t="shared" si="24"/>
        <v>46</v>
      </c>
      <c r="R88" s="6">
        <v>100</v>
      </c>
      <c r="S88" s="2" t="str">
        <f t="shared" si="25"/>
        <v>0</v>
      </c>
      <c r="T88" s="2">
        <v>0</v>
      </c>
      <c r="U88" s="3">
        <v>46168.25</v>
      </c>
      <c r="V88" s="3">
        <v>46168.25</v>
      </c>
      <c r="W88" s="3" t="b">
        <f t="shared" si="34"/>
        <v>1</v>
      </c>
      <c r="X88" s="3">
        <v>46168.375</v>
      </c>
      <c r="Y88" s="4">
        <f t="shared" si="26"/>
        <v>0.125</v>
      </c>
      <c r="Z88" s="7">
        <v>0.125</v>
      </c>
      <c r="AA88" s="4">
        <f t="shared" si="27"/>
        <v>0</v>
      </c>
      <c r="AB88" s="19">
        <v>145</v>
      </c>
      <c r="AC88" s="19">
        <v>6.9</v>
      </c>
      <c r="AD88" s="20">
        <f t="shared" si="28"/>
        <v>0</v>
      </c>
      <c r="AE88" s="20">
        <f t="shared" si="29"/>
        <v>0</v>
      </c>
      <c r="AF88" s="20">
        <f t="shared" si="31"/>
        <v>0</v>
      </c>
      <c r="AG88" s="19">
        <v>690</v>
      </c>
      <c r="AH88" s="20">
        <v>0</v>
      </c>
      <c r="AI88" s="20">
        <f t="shared" si="30"/>
        <v>690</v>
      </c>
      <c r="AJ88" s="1" t="s">
        <v>365</v>
      </c>
      <c r="AK88" s="1" t="s">
        <v>365</v>
      </c>
      <c r="AL88" s="1"/>
      <c r="AM88" s="1" t="s">
        <v>375</v>
      </c>
      <c r="AN88" s="1"/>
    </row>
    <row r="89" spans="1:40" s="14" customFormat="1" ht="12" customHeight="1" x14ac:dyDescent="0.3">
      <c r="A89" s="8" t="s">
        <v>37</v>
      </c>
      <c r="B89" s="8" t="s">
        <v>273</v>
      </c>
      <c r="C89" s="8" t="s">
        <v>364</v>
      </c>
      <c r="D89" s="8" t="s">
        <v>39</v>
      </c>
      <c r="E89" s="8" t="s">
        <v>280</v>
      </c>
      <c r="F89" s="9">
        <v>179442</v>
      </c>
      <c r="G89" s="9">
        <v>1562546</v>
      </c>
      <c r="H89" s="9">
        <v>5225</v>
      </c>
      <c r="I89" s="8" t="s">
        <v>288</v>
      </c>
      <c r="J89" s="8" t="s">
        <v>286</v>
      </c>
      <c r="K89" s="16" t="s">
        <v>283</v>
      </c>
      <c r="L89" s="16" t="s">
        <v>54</v>
      </c>
      <c r="M89" s="16" t="s">
        <v>287</v>
      </c>
      <c r="N89" s="8" t="s">
        <v>54</v>
      </c>
      <c r="O89" s="15">
        <v>43383</v>
      </c>
      <c r="P89" s="15">
        <v>43430</v>
      </c>
      <c r="Q89" s="15">
        <f t="shared" si="24"/>
        <v>47</v>
      </c>
      <c r="R89" s="6">
        <v>100</v>
      </c>
      <c r="S89" s="2" t="str">
        <f t="shared" si="25"/>
        <v>0</v>
      </c>
      <c r="T89" s="2">
        <v>0</v>
      </c>
      <c r="U89" s="3">
        <v>46168.25</v>
      </c>
      <c r="V89" s="3">
        <v>46168.25</v>
      </c>
      <c r="W89" s="3" t="b">
        <f t="shared" si="34"/>
        <v>1</v>
      </c>
      <c r="X89" s="3">
        <v>46168.375</v>
      </c>
      <c r="Y89" s="4">
        <f t="shared" si="26"/>
        <v>0.125</v>
      </c>
      <c r="Z89" s="7">
        <v>0.125</v>
      </c>
      <c r="AA89" s="4">
        <f t="shared" si="27"/>
        <v>0</v>
      </c>
      <c r="AB89" s="19">
        <v>145</v>
      </c>
      <c r="AC89" s="19">
        <v>6.9</v>
      </c>
      <c r="AD89" s="20">
        <f t="shared" si="28"/>
        <v>0</v>
      </c>
      <c r="AE89" s="20">
        <f t="shared" si="29"/>
        <v>0</v>
      </c>
      <c r="AF89" s="20">
        <f t="shared" si="31"/>
        <v>0</v>
      </c>
      <c r="AG89" s="19">
        <v>690</v>
      </c>
      <c r="AH89" s="20">
        <v>0</v>
      </c>
      <c r="AI89" s="20">
        <f t="shared" si="30"/>
        <v>690</v>
      </c>
      <c r="AJ89" s="1" t="s">
        <v>365</v>
      </c>
      <c r="AK89" s="1" t="s">
        <v>365</v>
      </c>
      <c r="AL89" s="1"/>
      <c r="AM89" s="1" t="s">
        <v>375</v>
      </c>
      <c r="AN89" s="1"/>
    </row>
    <row r="90" spans="1:40" s="14" customFormat="1" ht="12" customHeight="1" x14ac:dyDescent="0.3">
      <c r="A90" s="8" t="s">
        <v>37</v>
      </c>
      <c r="B90" s="8" t="s">
        <v>273</v>
      </c>
      <c r="C90" s="8" t="s">
        <v>364</v>
      </c>
      <c r="D90" s="8" t="s">
        <v>39</v>
      </c>
      <c r="E90" s="8" t="s">
        <v>289</v>
      </c>
      <c r="F90" s="9">
        <v>179443</v>
      </c>
      <c r="G90" s="9">
        <v>1561425</v>
      </c>
      <c r="H90" s="9">
        <v>5222</v>
      </c>
      <c r="I90" s="8" t="s">
        <v>237</v>
      </c>
      <c r="J90" s="8" t="s">
        <v>198</v>
      </c>
      <c r="K90" s="16" t="s">
        <v>199</v>
      </c>
      <c r="L90" s="16" t="s">
        <v>44</v>
      </c>
      <c r="M90" s="16" t="s">
        <v>55</v>
      </c>
      <c r="N90" s="8" t="s">
        <v>44</v>
      </c>
      <c r="O90" s="15">
        <v>5002</v>
      </c>
      <c r="P90" s="15">
        <v>5202</v>
      </c>
      <c r="Q90" s="15">
        <f t="shared" si="24"/>
        <v>200</v>
      </c>
      <c r="R90" s="6">
        <v>200</v>
      </c>
      <c r="S90" s="2">
        <f t="shared" si="25"/>
        <v>0</v>
      </c>
      <c r="T90" s="2">
        <v>0</v>
      </c>
      <c r="U90" s="3">
        <v>46167.743055555555</v>
      </c>
      <c r="V90" s="3">
        <v>46167.743055555555</v>
      </c>
      <c r="W90" s="3" t="b">
        <f>U90=V90</f>
        <v>1</v>
      </c>
      <c r="X90" s="3">
        <v>46168.063888888893</v>
      </c>
      <c r="Y90" s="4">
        <f t="shared" si="26"/>
        <v>0.32083333333866904</v>
      </c>
      <c r="Z90" s="7">
        <v>0.20833333333333334</v>
      </c>
      <c r="AA90" s="4">
        <f t="shared" si="27"/>
        <v>0.11250000000533569</v>
      </c>
      <c r="AB90" s="19">
        <v>145</v>
      </c>
      <c r="AC90" s="19">
        <v>7.35</v>
      </c>
      <c r="AD90" s="20">
        <f t="shared" si="28"/>
        <v>391.50000001856819</v>
      </c>
      <c r="AE90" s="20">
        <f t="shared" si="29"/>
        <v>0</v>
      </c>
      <c r="AF90" s="20">
        <f t="shared" si="31"/>
        <v>0</v>
      </c>
      <c r="AG90" s="19">
        <v>1470</v>
      </c>
      <c r="AH90" s="20">
        <v>35</v>
      </c>
      <c r="AI90" s="20">
        <f t="shared" si="30"/>
        <v>1896.5000000185682</v>
      </c>
      <c r="AJ90" s="1" t="s">
        <v>365</v>
      </c>
      <c r="AK90" s="1" t="s">
        <v>365</v>
      </c>
      <c r="AL90" s="1" t="s">
        <v>365</v>
      </c>
      <c r="AM90" s="1" t="s">
        <v>365</v>
      </c>
      <c r="AN90" s="1"/>
    </row>
    <row r="91" spans="1:40" s="14" customFormat="1" ht="12" customHeight="1" x14ac:dyDescent="0.3">
      <c r="A91" s="8" t="s">
        <v>37</v>
      </c>
      <c r="B91" s="8" t="s">
        <v>273</v>
      </c>
      <c r="C91" s="8" t="s">
        <v>364</v>
      </c>
      <c r="D91" s="8" t="s">
        <v>39</v>
      </c>
      <c r="E91" s="8" t="s">
        <v>87</v>
      </c>
      <c r="F91" s="9">
        <v>179446</v>
      </c>
      <c r="G91" s="9">
        <v>1562637</v>
      </c>
      <c r="H91" s="9">
        <v>5227</v>
      </c>
      <c r="I91" s="8" t="s">
        <v>94</v>
      </c>
      <c r="J91" s="8" t="s">
        <v>290</v>
      </c>
      <c r="K91" s="16" t="s">
        <v>108</v>
      </c>
      <c r="L91" s="16" t="s">
        <v>54</v>
      </c>
      <c r="M91" s="16" t="s">
        <v>291</v>
      </c>
      <c r="N91" s="8" t="s">
        <v>54</v>
      </c>
      <c r="O91" s="15">
        <v>32075</v>
      </c>
      <c r="P91" s="15">
        <v>32128</v>
      </c>
      <c r="Q91" s="15">
        <f t="shared" si="24"/>
        <v>53</v>
      </c>
      <c r="R91" s="6">
        <v>100</v>
      </c>
      <c r="S91" s="2" t="str">
        <f t="shared" si="25"/>
        <v>0</v>
      </c>
      <c r="T91" s="2">
        <v>0</v>
      </c>
      <c r="U91" s="3">
        <v>46168.270833333336</v>
      </c>
      <c r="V91" s="3">
        <v>46168.270833333336</v>
      </c>
      <c r="W91" s="3" t="b">
        <f t="shared" ref="W91:W92" si="35">V91=U91</f>
        <v>1</v>
      </c>
      <c r="X91" s="3">
        <v>46168.603472222225</v>
      </c>
      <c r="Y91" s="4">
        <f t="shared" si="26"/>
        <v>0.33263888888905058</v>
      </c>
      <c r="Z91" s="7">
        <v>0.125</v>
      </c>
      <c r="AA91" s="4">
        <f t="shared" si="27"/>
        <v>0.20763888888905058</v>
      </c>
      <c r="AB91" s="19">
        <v>145</v>
      </c>
      <c r="AC91" s="19">
        <v>6.9</v>
      </c>
      <c r="AD91" s="20">
        <f t="shared" si="28"/>
        <v>722.58333333389601</v>
      </c>
      <c r="AE91" s="20">
        <f t="shared" si="29"/>
        <v>0</v>
      </c>
      <c r="AF91" s="20">
        <f t="shared" si="31"/>
        <v>0</v>
      </c>
      <c r="AG91" s="19">
        <v>689.99999999999989</v>
      </c>
      <c r="AH91" s="20">
        <v>0</v>
      </c>
      <c r="AI91" s="20">
        <f t="shared" si="30"/>
        <v>1412.583333333896</v>
      </c>
      <c r="AJ91" s="1" t="s">
        <v>365</v>
      </c>
      <c r="AK91" s="1" t="s">
        <v>365</v>
      </c>
      <c r="AL91" s="1"/>
      <c r="AM91" s="1" t="s">
        <v>375</v>
      </c>
      <c r="AN91" s="1"/>
    </row>
    <row r="92" spans="1:40" s="14" customFormat="1" ht="12" customHeight="1" x14ac:dyDescent="0.3">
      <c r="A92" s="8" t="s">
        <v>37</v>
      </c>
      <c r="B92" s="8" t="s">
        <v>273</v>
      </c>
      <c r="C92" s="8" t="s">
        <v>364</v>
      </c>
      <c r="D92" s="8" t="s">
        <v>39</v>
      </c>
      <c r="E92" s="8" t="s">
        <v>87</v>
      </c>
      <c r="F92" s="9">
        <v>179450</v>
      </c>
      <c r="G92" s="9">
        <v>1562043</v>
      </c>
      <c r="H92" s="9">
        <v>5234</v>
      </c>
      <c r="I92" s="8" t="s">
        <v>88</v>
      </c>
      <c r="J92" s="8" t="s">
        <v>292</v>
      </c>
      <c r="K92" s="16" t="s">
        <v>293</v>
      </c>
      <c r="L92" s="16" t="s">
        <v>54</v>
      </c>
      <c r="M92" s="16" t="s">
        <v>108</v>
      </c>
      <c r="N92" s="8" t="s">
        <v>54</v>
      </c>
      <c r="O92" s="15">
        <v>23671</v>
      </c>
      <c r="P92" s="15">
        <v>23771</v>
      </c>
      <c r="Q92" s="15">
        <f t="shared" si="24"/>
        <v>100</v>
      </c>
      <c r="R92" s="6">
        <v>100</v>
      </c>
      <c r="S92" s="2">
        <f t="shared" si="25"/>
        <v>0</v>
      </c>
      <c r="T92" s="2">
        <v>0</v>
      </c>
      <c r="U92" s="3">
        <v>46168.541666666664</v>
      </c>
      <c r="V92" s="3">
        <v>46168.541666666664</v>
      </c>
      <c r="W92" s="3" t="b">
        <f t="shared" si="35"/>
        <v>1</v>
      </c>
      <c r="X92" s="3">
        <v>46168.739583333328</v>
      </c>
      <c r="Y92" s="4">
        <f t="shared" si="26"/>
        <v>0.19791666666424135</v>
      </c>
      <c r="Z92" s="7">
        <v>0.125</v>
      </c>
      <c r="AA92" s="4">
        <f t="shared" si="27"/>
        <v>7.2916666664241347E-2</v>
      </c>
      <c r="AB92" s="19">
        <v>145</v>
      </c>
      <c r="AC92" s="19">
        <v>6.9</v>
      </c>
      <c r="AD92" s="20">
        <f t="shared" si="28"/>
        <v>253.74999999155989</v>
      </c>
      <c r="AE92" s="20">
        <f t="shared" si="29"/>
        <v>0</v>
      </c>
      <c r="AF92" s="20">
        <f t="shared" si="31"/>
        <v>0</v>
      </c>
      <c r="AG92" s="19">
        <v>690</v>
      </c>
      <c r="AH92" s="20">
        <v>0</v>
      </c>
      <c r="AI92" s="20">
        <f t="shared" si="30"/>
        <v>943.74999999155989</v>
      </c>
      <c r="AJ92" s="1" t="s">
        <v>365</v>
      </c>
      <c r="AK92" s="1" t="s">
        <v>365</v>
      </c>
      <c r="AL92" s="1"/>
      <c r="AM92" s="1" t="s">
        <v>375</v>
      </c>
      <c r="AN92" s="1"/>
    </row>
    <row r="93" spans="1:40" s="14" customFormat="1" ht="12" customHeight="1" x14ac:dyDescent="0.3">
      <c r="A93" s="8" t="s">
        <v>37</v>
      </c>
      <c r="B93" s="8" t="s">
        <v>273</v>
      </c>
      <c r="C93" s="8" t="s">
        <v>364</v>
      </c>
      <c r="D93" s="8" t="s">
        <v>83</v>
      </c>
      <c r="E93" s="8" t="s">
        <v>50</v>
      </c>
      <c r="F93" s="9">
        <v>179456</v>
      </c>
      <c r="G93" s="8" t="s">
        <v>42</v>
      </c>
      <c r="H93" s="9">
        <v>5233</v>
      </c>
      <c r="I93" s="8" t="s">
        <v>174</v>
      </c>
      <c r="J93" s="8" t="s">
        <v>294</v>
      </c>
      <c r="K93" s="16" t="s">
        <v>59</v>
      </c>
      <c r="L93" s="16" t="s">
        <v>54</v>
      </c>
      <c r="M93" s="16" t="s">
        <v>55</v>
      </c>
      <c r="N93" s="8" t="s">
        <v>54</v>
      </c>
      <c r="O93" s="15">
        <v>0</v>
      </c>
      <c r="P93" s="15">
        <v>0</v>
      </c>
      <c r="Q93" s="15">
        <f t="shared" si="24"/>
        <v>0</v>
      </c>
      <c r="R93" s="6">
        <v>100</v>
      </c>
      <c r="S93" s="2" t="str">
        <f t="shared" si="25"/>
        <v>0</v>
      </c>
      <c r="T93" s="2">
        <v>0</v>
      </c>
      <c r="U93" s="3">
        <v>46168.25</v>
      </c>
      <c r="V93" s="3">
        <v>46168.25</v>
      </c>
      <c r="W93" s="3" t="b">
        <f>U93=V93</f>
        <v>1</v>
      </c>
      <c r="X93" s="3">
        <v>46168.375</v>
      </c>
      <c r="Y93" s="4">
        <f t="shared" si="26"/>
        <v>0.125</v>
      </c>
      <c r="Z93" s="7">
        <v>0.125</v>
      </c>
      <c r="AA93" s="4">
        <f t="shared" si="27"/>
        <v>0</v>
      </c>
      <c r="AB93" s="19">
        <v>145</v>
      </c>
      <c r="AC93" s="19">
        <v>6.9</v>
      </c>
      <c r="AD93" s="20">
        <f t="shared" si="28"/>
        <v>0</v>
      </c>
      <c r="AE93" s="20">
        <f t="shared" si="29"/>
        <v>0</v>
      </c>
      <c r="AF93" s="20">
        <f t="shared" si="31"/>
        <v>0</v>
      </c>
      <c r="AG93" s="19">
        <v>839.83</v>
      </c>
      <c r="AH93" s="20">
        <v>0</v>
      </c>
      <c r="AI93" s="20">
        <f t="shared" si="30"/>
        <v>839.83</v>
      </c>
      <c r="AJ93" s="1" t="s">
        <v>58</v>
      </c>
      <c r="AK93" s="1"/>
      <c r="AL93" s="1"/>
      <c r="AM93" s="1" t="s">
        <v>365</v>
      </c>
      <c r="AN93" s="1"/>
    </row>
    <row r="94" spans="1:40" s="14" customFormat="1" ht="12" customHeight="1" x14ac:dyDescent="0.3">
      <c r="A94" s="8" t="s">
        <v>37</v>
      </c>
      <c r="B94" s="8" t="s">
        <v>273</v>
      </c>
      <c r="C94" s="8" t="s">
        <v>364</v>
      </c>
      <c r="D94" s="8" t="s">
        <v>39</v>
      </c>
      <c r="E94" s="8" t="s">
        <v>60</v>
      </c>
      <c r="F94" s="9">
        <v>179470</v>
      </c>
      <c r="G94" s="9">
        <v>1561882.1561882</v>
      </c>
      <c r="H94" s="9">
        <v>5236</v>
      </c>
      <c r="I94" s="8" t="s">
        <v>295</v>
      </c>
      <c r="J94" s="8" t="s">
        <v>296</v>
      </c>
      <c r="K94" s="16" t="s">
        <v>297</v>
      </c>
      <c r="L94" s="16" t="s">
        <v>64</v>
      </c>
      <c r="M94" s="16" t="s">
        <v>298</v>
      </c>
      <c r="N94" s="8" t="s">
        <v>64</v>
      </c>
      <c r="O94" s="15">
        <v>252174</v>
      </c>
      <c r="P94" s="15">
        <v>252179</v>
      </c>
      <c r="Q94" s="15">
        <f t="shared" si="24"/>
        <v>5</v>
      </c>
      <c r="R94" s="6">
        <v>100</v>
      </c>
      <c r="S94" s="2" t="str">
        <f t="shared" si="25"/>
        <v>0</v>
      </c>
      <c r="T94" s="2">
        <v>0</v>
      </c>
      <c r="U94" s="3">
        <v>46167.875</v>
      </c>
      <c r="V94" s="3">
        <v>46167.875</v>
      </c>
      <c r="W94" s="3" t="b">
        <f>V94=U94</f>
        <v>1</v>
      </c>
      <c r="X94" s="3">
        <v>46168</v>
      </c>
      <c r="Y94" s="4">
        <f t="shared" si="26"/>
        <v>0.125</v>
      </c>
      <c r="Z94" s="7">
        <v>0.125</v>
      </c>
      <c r="AA94" s="4">
        <f t="shared" si="27"/>
        <v>0</v>
      </c>
      <c r="AB94" s="19">
        <v>145</v>
      </c>
      <c r="AC94" s="19">
        <v>6.9</v>
      </c>
      <c r="AD94" s="20">
        <f t="shared" si="28"/>
        <v>0</v>
      </c>
      <c r="AE94" s="20">
        <f t="shared" si="29"/>
        <v>0</v>
      </c>
      <c r="AF94" s="20">
        <f t="shared" si="31"/>
        <v>0</v>
      </c>
      <c r="AG94" s="19">
        <v>690</v>
      </c>
      <c r="AH94" s="20">
        <v>0</v>
      </c>
      <c r="AI94" s="20">
        <f t="shared" si="30"/>
        <v>690</v>
      </c>
      <c r="AJ94" s="1" t="s">
        <v>365</v>
      </c>
      <c r="AK94" s="1" t="s">
        <v>365</v>
      </c>
      <c r="AL94" s="1"/>
      <c r="AM94" s="1" t="s">
        <v>375</v>
      </c>
      <c r="AN94" s="1"/>
    </row>
    <row r="95" spans="1:40" s="14" customFormat="1" ht="12" customHeight="1" x14ac:dyDescent="0.3">
      <c r="A95" s="8" t="s">
        <v>37</v>
      </c>
      <c r="B95" s="8" t="s">
        <v>273</v>
      </c>
      <c r="C95" s="8" t="s">
        <v>364</v>
      </c>
      <c r="D95" s="8" t="s">
        <v>39</v>
      </c>
      <c r="E95" s="8" t="s">
        <v>216</v>
      </c>
      <c r="F95" s="9">
        <v>179481</v>
      </c>
      <c r="G95" s="9">
        <v>1561245</v>
      </c>
      <c r="H95" s="9">
        <v>5239</v>
      </c>
      <c r="I95" s="8" t="s">
        <v>295</v>
      </c>
      <c r="J95" s="8" t="s">
        <v>299</v>
      </c>
      <c r="K95" s="16" t="s">
        <v>218</v>
      </c>
      <c r="L95" s="8" t="s">
        <v>64</v>
      </c>
      <c r="M95" s="16" t="s">
        <v>55</v>
      </c>
      <c r="N95" s="8" t="s">
        <v>64</v>
      </c>
      <c r="O95" s="15">
        <v>252211</v>
      </c>
      <c r="P95" s="15">
        <v>252411</v>
      </c>
      <c r="Q95" s="15">
        <f t="shared" si="24"/>
        <v>200</v>
      </c>
      <c r="R95" s="6">
        <v>200</v>
      </c>
      <c r="S95" s="2">
        <f t="shared" si="25"/>
        <v>0</v>
      </c>
      <c r="T95" s="2">
        <v>0</v>
      </c>
      <c r="U95" s="3">
        <v>46167.986111111109</v>
      </c>
      <c r="V95" s="3">
        <v>46167.986111111109</v>
      </c>
      <c r="W95" s="3" t="b">
        <f t="shared" ref="W95:W96" si="36">U95=V95</f>
        <v>1</v>
      </c>
      <c r="X95" s="3">
        <v>46168.194444444445</v>
      </c>
      <c r="Y95" s="4">
        <f t="shared" si="26"/>
        <v>0.20833333333575865</v>
      </c>
      <c r="Z95" s="7">
        <v>0.20833333333333334</v>
      </c>
      <c r="AA95" s="4">
        <f t="shared" si="27"/>
        <v>2.4253099528692701E-12</v>
      </c>
      <c r="AB95" s="19">
        <v>145</v>
      </c>
      <c r="AC95" s="19">
        <v>6.9</v>
      </c>
      <c r="AD95" s="20">
        <f t="shared" si="28"/>
        <v>8.4400786359850599E-9</v>
      </c>
      <c r="AE95" s="20">
        <f t="shared" si="29"/>
        <v>0</v>
      </c>
      <c r="AF95" s="20">
        <f t="shared" si="31"/>
        <v>0</v>
      </c>
      <c r="AG95" s="19">
        <v>1380</v>
      </c>
      <c r="AH95" s="20">
        <v>35</v>
      </c>
      <c r="AI95" s="20">
        <f t="shared" si="30"/>
        <v>1415.0000000084401</v>
      </c>
      <c r="AJ95" s="1" t="s">
        <v>365</v>
      </c>
      <c r="AK95" s="1" t="s">
        <v>365</v>
      </c>
      <c r="AL95" s="1"/>
      <c r="AM95" s="1" t="s">
        <v>375</v>
      </c>
      <c r="AN95" s="1"/>
    </row>
    <row r="96" spans="1:40" s="14" customFormat="1" ht="12" customHeight="1" x14ac:dyDescent="0.3">
      <c r="A96" s="8" t="s">
        <v>37</v>
      </c>
      <c r="B96" s="8" t="s">
        <v>273</v>
      </c>
      <c r="C96" s="8" t="s">
        <v>364</v>
      </c>
      <c r="D96" s="8" t="s">
        <v>39</v>
      </c>
      <c r="E96" s="8" t="s">
        <v>300</v>
      </c>
      <c r="F96" s="9">
        <v>179482</v>
      </c>
      <c r="G96" s="9">
        <v>1560840</v>
      </c>
      <c r="H96" s="9">
        <v>5240</v>
      </c>
      <c r="I96" s="8" t="s">
        <v>301</v>
      </c>
      <c r="J96" s="8" t="s">
        <v>302</v>
      </c>
      <c r="K96" s="16" t="s">
        <v>53</v>
      </c>
      <c r="L96" s="16" t="s">
        <v>54</v>
      </c>
      <c r="M96" s="16" t="s">
        <v>303</v>
      </c>
      <c r="N96" s="8" t="s">
        <v>189</v>
      </c>
      <c r="O96" s="15">
        <v>423304</v>
      </c>
      <c r="P96" s="15">
        <v>423712</v>
      </c>
      <c r="Q96" s="15">
        <f t="shared" si="24"/>
        <v>408</v>
      </c>
      <c r="R96" s="6">
        <v>400</v>
      </c>
      <c r="S96" s="2">
        <f t="shared" si="25"/>
        <v>8</v>
      </c>
      <c r="T96" s="2">
        <v>0</v>
      </c>
      <c r="U96" s="3">
        <v>46168</v>
      </c>
      <c r="V96" s="3">
        <v>46168</v>
      </c>
      <c r="W96" s="3" t="b">
        <f t="shared" si="36"/>
        <v>1</v>
      </c>
      <c r="X96" s="3">
        <v>46168.416666666672</v>
      </c>
      <c r="Y96" s="4">
        <f t="shared" si="26"/>
        <v>0.41666666667151731</v>
      </c>
      <c r="Z96" s="7">
        <v>0.41666666666666669</v>
      </c>
      <c r="AA96" s="4">
        <f t="shared" si="27"/>
        <v>4.8506199057385402E-12</v>
      </c>
      <c r="AB96" s="19">
        <v>145</v>
      </c>
      <c r="AC96" s="19">
        <v>6.9</v>
      </c>
      <c r="AD96" s="20">
        <f t="shared" si="28"/>
        <v>1.688015727197012E-8</v>
      </c>
      <c r="AE96" s="20">
        <f t="shared" si="29"/>
        <v>55.2</v>
      </c>
      <c r="AF96" s="20">
        <f t="shared" si="31"/>
        <v>0</v>
      </c>
      <c r="AG96" s="19">
        <v>2760</v>
      </c>
      <c r="AH96" s="20">
        <v>35.200000000000003</v>
      </c>
      <c r="AI96" s="20">
        <f t="shared" si="30"/>
        <v>2850.4000000168799</v>
      </c>
      <c r="AJ96" s="1" t="s">
        <v>365</v>
      </c>
      <c r="AK96" s="1" t="s">
        <v>365</v>
      </c>
      <c r="AL96" s="1"/>
      <c r="AM96" s="1" t="s">
        <v>376</v>
      </c>
      <c r="AN96" s="1"/>
    </row>
    <row r="97" spans="1:40" s="14" customFormat="1" ht="12" customHeight="1" x14ac:dyDescent="0.3">
      <c r="A97" s="8" t="s">
        <v>37</v>
      </c>
      <c r="B97" s="8" t="s">
        <v>273</v>
      </c>
      <c r="C97" s="8" t="s">
        <v>364</v>
      </c>
      <c r="D97" s="8" t="s">
        <v>39</v>
      </c>
      <c r="E97" s="8" t="s">
        <v>87</v>
      </c>
      <c r="F97" s="9">
        <v>179496</v>
      </c>
      <c r="G97" s="9">
        <v>1563577.1563577</v>
      </c>
      <c r="H97" s="9">
        <v>5243</v>
      </c>
      <c r="I97" s="8" t="s">
        <v>88</v>
      </c>
      <c r="J97" s="8" t="s">
        <v>304</v>
      </c>
      <c r="K97" s="16" t="s">
        <v>108</v>
      </c>
      <c r="L97" s="16" t="s">
        <v>54</v>
      </c>
      <c r="M97" s="16" t="s">
        <v>305</v>
      </c>
      <c r="N97" s="8" t="s">
        <v>54</v>
      </c>
      <c r="O97" s="15">
        <v>23773</v>
      </c>
      <c r="P97" s="15">
        <v>23789</v>
      </c>
      <c r="Q97" s="15">
        <f t="shared" si="24"/>
        <v>16</v>
      </c>
      <c r="R97" s="6">
        <v>100</v>
      </c>
      <c r="S97" s="2" t="str">
        <f t="shared" si="25"/>
        <v>0</v>
      </c>
      <c r="T97" s="2">
        <v>0</v>
      </c>
      <c r="U97" s="3">
        <v>46168.875</v>
      </c>
      <c r="V97" s="3">
        <v>46168.875</v>
      </c>
      <c r="W97" s="3" t="b">
        <f t="shared" ref="W97:W98" si="37">V97=U97</f>
        <v>1</v>
      </c>
      <c r="X97" s="3">
        <v>46169.004166666666</v>
      </c>
      <c r="Y97" s="4">
        <f t="shared" si="26"/>
        <v>0.12916666666569654</v>
      </c>
      <c r="Z97" s="7">
        <v>0.125</v>
      </c>
      <c r="AA97" s="4">
        <f t="shared" si="27"/>
        <v>4.166666665696539E-3</v>
      </c>
      <c r="AB97" s="19">
        <v>145</v>
      </c>
      <c r="AC97" s="19">
        <v>6.9</v>
      </c>
      <c r="AD97" s="20">
        <f t="shared" si="28"/>
        <v>14.499999996623956</v>
      </c>
      <c r="AE97" s="20">
        <f t="shared" si="29"/>
        <v>0</v>
      </c>
      <c r="AF97" s="20">
        <f t="shared" si="31"/>
        <v>0</v>
      </c>
      <c r="AG97" s="19">
        <v>690</v>
      </c>
      <c r="AH97" s="20">
        <v>0</v>
      </c>
      <c r="AI97" s="20">
        <f t="shared" si="30"/>
        <v>704.49999999662396</v>
      </c>
      <c r="AJ97" s="1" t="s">
        <v>365</v>
      </c>
      <c r="AK97" s="1" t="s">
        <v>365</v>
      </c>
      <c r="AL97" s="1"/>
      <c r="AM97" s="1" t="s">
        <v>375</v>
      </c>
      <c r="AN97" s="1"/>
    </row>
    <row r="98" spans="1:40" s="14" customFormat="1" ht="12" customHeight="1" x14ac:dyDescent="0.3">
      <c r="A98" s="8" t="s">
        <v>37</v>
      </c>
      <c r="B98" s="8" t="s">
        <v>273</v>
      </c>
      <c r="C98" s="8" t="s">
        <v>364</v>
      </c>
      <c r="D98" s="8" t="s">
        <v>39</v>
      </c>
      <c r="E98" s="8" t="s">
        <v>163</v>
      </c>
      <c r="F98" s="9">
        <v>179520</v>
      </c>
      <c r="G98" s="9">
        <v>1564345</v>
      </c>
      <c r="H98" s="9">
        <v>5252</v>
      </c>
      <c r="I98" s="8" t="s">
        <v>306</v>
      </c>
      <c r="J98" s="8" t="s">
        <v>307</v>
      </c>
      <c r="K98" s="16" t="s">
        <v>283</v>
      </c>
      <c r="L98" s="16" t="s">
        <v>54</v>
      </c>
      <c r="M98" s="16" t="s">
        <v>308</v>
      </c>
      <c r="N98" s="8" t="s">
        <v>54</v>
      </c>
      <c r="O98" s="15">
        <v>40309</v>
      </c>
      <c r="P98" s="15">
        <v>40351</v>
      </c>
      <c r="Q98" s="15">
        <f t="shared" si="24"/>
        <v>42</v>
      </c>
      <c r="R98" s="6">
        <v>100</v>
      </c>
      <c r="S98" s="2" t="str">
        <f t="shared" si="25"/>
        <v>0</v>
      </c>
      <c r="T98" s="2">
        <v>0</v>
      </c>
      <c r="U98" s="3">
        <v>46169.416666666664</v>
      </c>
      <c r="V98" s="3">
        <v>46169.416666666664</v>
      </c>
      <c r="W98" s="3" t="b">
        <f t="shared" si="37"/>
        <v>1</v>
      </c>
      <c r="X98" s="3">
        <v>46169.541666666672</v>
      </c>
      <c r="Y98" s="4">
        <f t="shared" ref="Y98:Y126" si="38">X98-U98</f>
        <v>0.12500000000727596</v>
      </c>
      <c r="Z98" s="7">
        <v>0.125</v>
      </c>
      <c r="AA98" s="4">
        <f t="shared" si="27"/>
        <v>7.2759576141834259E-12</v>
      </c>
      <c r="AB98" s="19">
        <v>145</v>
      </c>
      <c r="AC98" s="19">
        <v>6.9</v>
      </c>
      <c r="AD98" s="20">
        <f t="shared" si="28"/>
        <v>2.5320332497358322E-8</v>
      </c>
      <c r="AE98" s="20">
        <f t="shared" ref="AE98:AE126" si="39">S98*AC98</f>
        <v>0</v>
      </c>
      <c r="AF98" s="20">
        <f t="shared" ref="AF98:AF126" si="40">T98*AC98</f>
        <v>0</v>
      </c>
      <c r="AG98" s="19">
        <v>690</v>
      </c>
      <c r="AH98" s="20">
        <v>13.6</v>
      </c>
      <c r="AI98" s="20">
        <f t="shared" si="30"/>
        <v>703.60000002532036</v>
      </c>
      <c r="AJ98" s="1" t="s">
        <v>365</v>
      </c>
      <c r="AK98" s="1" t="s">
        <v>365</v>
      </c>
      <c r="AL98" s="1"/>
      <c r="AM98" s="1" t="s">
        <v>375</v>
      </c>
      <c r="AN98" s="1"/>
    </row>
    <row r="99" spans="1:40" s="14" customFormat="1" ht="12" customHeight="1" x14ac:dyDescent="0.3">
      <c r="A99" s="8" t="s">
        <v>37</v>
      </c>
      <c r="B99" s="8" t="s">
        <v>273</v>
      </c>
      <c r="C99" s="8" t="s">
        <v>364</v>
      </c>
      <c r="D99" s="8" t="s">
        <v>39</v>
      </c>
      <c r="E99" s="8" t="s">
        <v>309</v>
      </c>
      <c r="F99" s="9">
        <v>179523</v>
      </c>
      <c r="G99" s="9">
        <v>1563004</v>
      </c>
      <c r="H99" s="9">
        <v>5253</v>
      </c>
      <c r="I99" s="8" t="s">
        <v>237</v>
      </c>
      <c r="J99" s="8" t="s">
        <v>310</v>
      </c>
      <c r="K99" s="16" t="s">
        <v>108</v>
      </c>
      <c r="L99" s="16" t="s">
        <v>54</v>
      </c>
      <c r="M99" s="16" t="s">
        <v>311</v>
      </c>
      <c r="N99" s="8" t="s">
        <v>86</v>
      </c>
      <c r="O99" s="15">
        <v>5653</v>
      </c>
      <c r="P99" s="15">
        <v>6258</v>
      </c>
      <c r="Q99" s="15">
        <f t="shared" si="24"/>
        <v>605</v>
      </c>
      <c r="R99" s="6">
        <v>600</v>
      </c>
      <c r="S99" s="2">
        <f t="shared" si="25"/>
        <v>5</v>
      </c>
      <c r="T99" s="2">
        <v>0</v>
      </c>
      <c r="U99" s="3">
        <v>46169.291666666664</v>
      </c>
      <c r="V99" s="3">
        <v>46169.291666666664</v>
      </c>
      <c r="W99" s="3" t="b">
        <f t="shared" ref="W99:W100" si="41">U99=V99</f>
        <v>1</v>
      </c>
      <c r="X99" s="3">
        <v>46170.30069444445</v>
      </c>
      <c r="Y99" s="4">
        <f t="shared" si="38"/>
        <v>1.0090277777853771</v>
      </c>
      <c r="Z99" s="7">
        <v>0.625</v>
      </c>
      <c r="AA99" s="4">
        <f t="shared" si="27"/>
        <v>0.38402777778537711</v>
      </c>
      <c r="AB99" s="19">
        <v>145</v>
      </c>
      <c r="AC99" s="19">
        <v>6.9</v>
      </c>
      <c r="AD99" s="20">
        <f t="shared" si="28"/>
        <v>1336.4166666931123</v>
      </c>
      <c r="AE99" s="20">
        <f t="shared" si="39"/>
        <v>34.5</v>
      </c>
      <c r="AF99" s="20">
        <f t="shared" si="40"/>
        <v>0</v>
      </c>
      <c r="AG99" s="19">
        <v>4140</v>
      </c>
      <c r="AH99" s="20">
        <v>29.6</v>
      </c>
      <c r="AI99" s="20">
        <f t="shared" si="30"/>
        <v>5540.5166666931127</v>
      </c>
      <c r="AJ99" s="1" t="s">
        <v>365</v>
      </c>
      <c r="AK99" s="1" t="s">
        <v>365</v>
      </c>
      <c r="AL99" s="1"/>
      <c r="AM99" s="1" t="s">
        <v>379</v>
      </c>
      <c r="AN99" s="1"/>
    </row>
    <row r="100" spans="1:40" s="14" customFormat="1" ht="12" customHeight="1" x14ac:dyDescent="0.3">
      <c r="A100" s="8" t="s">
        <v>37</v>
      </c>
      <c r="B100" s="8" t="s">
        <v>273</v>
      </c>
      <c r="C100" s="8" t="s">
        <v>364</v>
      </c>
      <c r="D100" s="8" t="s">
        <v>39</v>
      </c>
      <c r="E100" s="8" t="s">
        <v>312</v>
      </c>
      <c r="F100" s="9">
        <v>179527</v>
      </c>
      <c r="G100" s="9">
        <v>1563148</v>
      </c>
      <c r="H100" s="9">
        <v>5254</v>
      </c>
      <c r="I100" s="8" t="s">
        <v>129</v>
      </c>
      <c r="J100" s="8" t="s">
        <v>313</v>
      </c>
      <c r="K100" s="16" t="s">
        <v>108</v>
      </c>
      <c r="L100" s="16" t="s">
        <v>54</v>
      </c>
      <c r="M100" s="16" t="s">
        <v>314</v>
      </c>
      <c r="N100" s="8" t="s">
        <v>145</v>
      </c>
      <c r="O100" s="15">
        <v>21992</v>
      </c>
      <c r="P100" s="15">
        <v>23002</v>
      </c>
      <c r="Q100" s="15">
        <f t="shared" si="24"/>
        <v>1010</v>
      </c>
      <c r="R100" s="6">
        <v>1000</v>
      </c>
      <c r="S100" s="2">
        <f t="shared" si="25"/>
        <v>10</v>
      </c>
      <c r="T100" s="2">
        <v>0</v>
      </c>
      <c r="U100" s="3">
        <v>46169.291666666664</v>
      </c>
      <c r="V100" s="3">
        <v>46169.291666666664</v>
      </c>
      <c r="W100" s="3" t="b">
        <f t="shared" si="41"/>
        <v>1</v>
      </c>
      <c r="X100" s="3">
        <v>46171.385416666672</v>
      </c>
      <c r="Y100" s="4">
        <f t="shared" si="38"/>
        <v>2.093750000007276</v>
      </c>
      <c r="Z100" s="7">
        <v>1.0416666666666667</v>
      </c>
      <c r="AA100" s="4">
        <f t="shared" si="27"/>
        <v>1.0520833333406092</v>
      </c>
      <c r="AB100" s="19">
        <v>145</v>
      </c>
      <c r="AC100" s="19">
        <v>6.9</v>
      </c>
      <c r="AD100" s="20">
        <f t="shared" si="28"/>
        <v>3661.2500000253199</v>
      </c>
      <c r="AE100" s="20">
        <f t="shared" si="39"/>
        <v>69</v>
      </c>
      <c r="AF100" s="20">
        <f t="shared" si="40"/>
        <v>0</v>
      </c>
      <c r="AG100" s="19">
        <v>6899.9999999999991</v>
      </c>
      <c r="AH100" s="20">
        <v>180.31</v>
      </c>
      <c r="AI100" s="20">
        <f t="shared" si="30"/>
        <v>10810.560000025318</v>
      </c>
      <c r="AJ100" s="1" t="s">
        <v>365</v>
      </c>
      <c r="AK100" s="1" t="s">
        <v>365</v>
      </c>
      <c r="AL100" s="1"/>
      <c r="AM100" s="1" t="s">
        <v>384</v>
      </c>
      <c r="AN100" s="1"/>
    </row>
    <row r="101" spans="1:40" s="14" customFormat="1" ht="12" customHeight="1" x14ac:dyDescent="0.3">
      <c r="A101" s="8" t="s">
        <v>37</v>
      </c>
      <c r="B101" s="8" t="s">
        <v>273</v>
      </c>
      <c r="C101" s="8" t="s">
        <v>364</v>
      </c>
      <c r="D101" s="8" t="s">
        <v>39</v>
      </c>
      <c r="E101" s="8" t="s">
        <v>158</v>
      </c>
      <c r="F101" s="9">
        <v>179529</v>
      </c>
      <c r="G101" s="9">
        <v>1564241</v>
      </c>
      <c r="H101" s="9">
        <v>5257</v>
      </c>
      <c r="I101" s="8" t="s">
        <v>159</v>
      </c>
      <c r="J101" s="8" t="s">
        <v>315</v>
      </c>
      <c r="K101" s="16" t="s">
        <v>316</v>
      </c>
      <c r="L101" s="16" t="s">
        <v>71</v>
      </c>
      <c r="M101" s="16" t="s">
        <v>317</v>
      </c>
      <c r="N101" s="8" t="s">
        <v>71</v>
      </c>
      <c r="O101" s="15">
        <v>65142</v>
      </c>
      <c r="P101" s="15">
        <v>65149</v>
      </c>
      <c r="Q101" s="15">
        <f t="shared" si="24"/>
        <v>7</v>
      </c>
      <c r="R101" s="6">
        <v>100</v>
      </c>
      <c r="S101" s="2" t="str">
        <f t="shared" si="25"/>
        <v>0</v>
      </c>
      <c r="T101" s="2">
        <v>0</v>
      </c>
      <c r="U101" s="3">
        <v>46169.345833333333</v>
      </c>
      <c r="V101" s="3">
        <v>46169.354166666664</v>
      </c>
      <c r="W101" s="3" t="b">
        <f>V101=U101</f>
        <v>0</v>
      </c>
      <c r="X101" s="3">
        <v>46169.470833333333</v>
      </c>
      <c r="Y101" s="4">
        <f t="shared" si="38"/>
        <v>0.125</v>
      </c>
      <c r="Z101" s="7">
        <v>0.125</v>
      </c>
      <c r="AA101" s="4">
        <f t="shared" si="27"/>
        <v>0</v>
      </c>
      <c r="AB101" s="19">
        <v>145</v>
      </c>
      <c r="AC101" s="19">
        <v>6.9</v>
      </c>
      <c r="AD101" s="20">
        <f t="shared" si="28"/>
        <v>0</v>
      </c>
      <c r="AE101" s="20">
        <f t="shared" si="39"/>
        <v>0</v>
      </c>
      <c r="AF101" s="20">
        <f t="shared" si="40"/>
        <v>0</v>
      </c>
      <c r="AG101" s="19">
        <v>690</v>
      </c>
      <c r="AH101" s="20">
        <v>0</v>
      </c>
      <c r="AI101" s="20">
        <f t="shared" si="30"/>
        <v>690</v>
      </c>
      <c r="AJ101" s="1" t="s">
        <v>365</v>
      </c>
      <c r="AK101" s="1" t="s">
        <v>365</v>
      </c>
      <c r="AL101" s="1"/>
      <c r="AM101" s="1" t="s">
        <v>370</v>
      </c>
      <c r="AN101" s="1"/>
    </row>
    <row r="102" spans="1:40" s="14" customFormat="1" ht="12" customHeight="1" x14ac:dyDescent="0.3">
      <c r="A102" s="8" t="s">
        <v>37</v>
      </c>
      <c r="B102" s="8" t="s">
        <v>273</v>
      </c>
      <c r="C102" s="8" t="s">
        <v>364</v>
      </c>
      <c r="D102" s="8" t="s">
        <v>39</v>
      </c>
      <c r="E102" s="8" t="s">
        <v>50</v>
      </c>
      <c r="F102" s="9">
        <v>179561</v>
      </c>
      <c r="G102" s="9">
        <v>1562915.1562915</v>
      </c>
      <c r="H102" s="9">
        <v>5266</v>
      </c>
      <c r="I102" s="8" t="s">
        <v>122</v>
      </c>
      <c r="J102" s="8" t="s">
        <v>253</v>
      </c>
      <c r="K102" s="16" t="s">
        <v>53</v>
      </c>
      <c r="L102" s="16" t="s">
        <v>54</v>
      </c>
      <c r="M102" s="16" t="s">
        <v>55</v>
      </c>
      <c r="N102" s="8" t="s">
        <v>54</v>
      </c>
      <c r="O102" s="15">
        <v>201238</v>
      </c>
      <c r="P102" s="15">
        <v>201440</v>
      </c>
      <c r="Q102" s="15">
        <f t="shared" si="24"/>
        <v>202</v>
      </c>
      <c r="R102" s="6">
        <v>200</v>
      </c>
      <c r="S102" s="2">
        <f t="shared" si="25"/>
        <v>2</v>
      </c>
      <c r="T102" s="2">
        <v>0</v>
      </c>
      <c r="U102" s="3">
        <v>46169.048611111109</v>
      </c>
      <c r="V102" s="3">
        <v>46169.048611111109</v>
      </c>
      <c r="W102" s="3" t="b">
        <f>U102=V102</f>
        <v>1</v>
      </c>
      <c r="X102" s="3">
        <v>46169.256944444445</v>
      </c>
      <c r="Y102" s="4">
        <f t="shared" si="38"/>
        <v>0.20833333333575865</v>
      </c>
      <c r="Z102" s="7">
        <v>0.20833333333333334</v>
      </c>
      <c r="AA102" s="4">
        <f t="shared" si="27"/>
        <v>2.4253099528692701E-12</v>
      </c>
      <c r="AB102" s="19">
        <v>145</v>
      </c>
      <c r="AC102" s="19">
        <v>6.9</v>
      </c>
      <c r="AD102" s="20">
        <f t="shared" si="28"/>
        <v>8.4400786359850599E-9</v>
      </c>
      <c r="AE102" s="20">
        <f t="shared" si="39"/>
        <v>13.8</v>
      </c>
      <c r="AF102" s="20">
        <f t="shared" si="40"/>
        <v>0</v>
      </c>
      <c r="AG102" s="19">
        <v>1366.2</v>
      </c>
      <c r="AH102" s="20">
        <v>35</v>
      </c>
      <c r="AI102" s="20">
        <f t="shared" si="30"/>
        <v>1415.0000000084401</v>
      </c>
      <c r="AJ102" s="1" t="s">
        <v>365</v>
      </c>
      <c r="AK102" s="1" t="s">
        <v>365</v>
      </c>
      <c r="AL102" s="1"/>
      <c r="AM102" s="1" t="s">
        <v>373</v>
      </c>
      <c r="AN102" s="1"/>
    </row>
    <row r="103" spans="1:40" s="14" customFormat="1" ht="12" customHeight="1" x14ac:dyDescent="0.3">
      <c r="A103" s="8" t="s">
        <v>37</v>
      </c>
      <c r="B103" s="8" t="s">
        <v>273</v>
      </c>
      <c r="C103" s="8" t="s">
        <v>364</v>
      </c>
      <c r="D103" s="8" t="s">
        <v>39</v>
      </c>
      <c r="E103" s="8" t="s">
        <v>87</v>
      </c>
      <c r="F103" s="9">
        <v>179564</v>
      </c>
      <c r="G103" s="9">
        <v>1563692</v>
      </c>
      <c r="H103" s="8">
        <v>5268</v>
      </c>
      <c r="I103" s="8" t="s">
        <v>249</v>
      </c>
      <c r="J103" s="8" t="s">
        <v>318</v>
      </c>
      <c r="K103" s="16" t="s">
        <v>53</v>
      </c>
      <c r="L103" s="16" t="s">
        <v>54</v>
      </c>
      <c r="M103" s="16" t="s">
        <v>319</v>
      </c>
      <c r="N103" s="8" t="s">
        <v>54</v>
      </c>
      <c r="O103" s="15">
        <v>14677</v>
      </c>
      <c r="P103" s="15">
        <v>14714</v>
      </c>
      <c r="Q103" s="15">
        <f t="shared" si="24"/>
        <v>37</v>
      </c>
      <c r="R103" s="6">
        <v>100</v>
      </c>
      <c r="S103" s="2" t="str">
        <f t="shared" si="25"/>
        <v>0</v>
      </c>
      <c r="T103" s="2">
        <v>0</v>
      </c>
      <c r="U103" s="3">
        <v>46169.194444444445</v>
      </c>
      <c r="V103" s="3">
        <v>46169.194444444445</v>
      </c>
      <c r="W103" s="3" t="b">
        <f t="shared" ref="W103:W104" si="42">V103=U103</f>
        <v>1</v>
      </c>
      <c r="X103" s="3">
        <v>46169.319444444445</v>
      </c>
      <c r="Y103" s="4">
        <f t="shared" si="38"/>
        <v>0.125</v>
      </c>
      <c r="Z103" s="7">
        <v>0.125</v>
      </c>
      <c r="AA103" s="4">
        <f t="shared" si="27"/>
        <v>0</v>
      </c>
      <c r="AB103" s="19">
        <v>145</v>
      </c>
      <c r="AC103" s="19">
        <v>6.9</v>
      </c>
      <c r="AD103" s="20">
        <f t="shared" si="28"/>
        <v>0</v>
      </c>
      <c r="AE103" s="20">
        <f t="shared" si="39"/>
        <v>0</v>
      </c>
      <c r="AF103" s="20">
        <f t="shared" si="40"/>
        <v>0</v>
      </c>
      <c r="AG103" s="19">
        <v>690</v>
      </c>
      <c r="AH103" s="20">
        <v>9.4</v>
      </c>
      <c r="AI103" s="20">
        <f t="shared" si="30"/>
        <v>699.4</v>
      </c>
      <c r="AJ103" s="1" t="s">
        <v>365</v>
      </c>
      <c r="AK103" s="1" t="s">
        <v>365</v>
      </c>
      <c r="AL103" s="1"/>
      <c r="AM103" s="1" t="s">
        <v>375</v>
      </c>
      <c r="AN103" s="1"/>
    </row>
    <row r="104" spans="1:40" s="14" customFormat="1" ht="12" customHeight="1" x14ac:dyDescent="0.3">
      <c r="A104" s="8" t="s">
        <v>37</v>
      </c>
      <c r="B104" s="8" t="s">
        <v>273</v>
      </c>
      <c r="C104" s="8" t="s">
        <v>364</v>
      </c>
      <c r="D104" s="8" t="s">
        <v>39</v>
      </c>
      <c r="E104" s="8" t="s">
        <v>87</v>
      </c>
      <c r="F104" s="9">
        <v>179567</v>
      </c>
      <c r="G104" s="9">
        <v>1563764</v>
      </c>
      <c r="H104" s="9">
        <v>5269</v>
      </c>
      <c r="I104" s="8" t="s">
        <v>134</v>
      </c>
      <c r="J104" s="8" t="s">
        <v>320</v>
      </c>
      <c r="K104" s="16" t="s">
        <v>321</v>
      </c>
      <c r="L104" s="16" t="s">
        <v>54</v>
      </c>
      <c r="M104" s="16" t="s">
        <v>322</v>
      </c>
      <c r="N104" s="8" t="s">
        <v>54</v>
      </c>
      <c r="O104" s="15">
        <v>97814</v>
      </c>
      <c r="P104" s="15">
        <v>97871</v>
      </c>
      <c r="Q104" s="15">
        <f t="shared" si="24"/>
        <v>57</v>
      </c>
      <c r="R104" s="6">
        <v>100</v>
      </c>
      <c r="S104" s="2" t="str">
        <f t="shared" si="25"/>
        <v>0</v>
      </c>
      <c r="T104" s="2">
        <v>0</v>
      </c>
      <c r="U104" s="3">
        <v>46169.25</v>
      </c>
      <c r="V104" s="3">
        <v>46169.25</v>
      </c>
      <c r="W104" s="3" t="b">
        <f t="shared" si="42"/>
        <v>1</v>
      </c>
      <c r="X104" s="3">
        <v>46169.375</v>
      </c>
      <c r="Y104" s="4">
        <f t="shared" si="38"/>
        <v>0.125</v>
      </c>
      <c r="Z104" s="7">
        <v>0.125</v>
      </c>
      <c r="AA104" s="4">
        <f t="shared" si="27"/>
        <v>0</v>
      </c>
      <c r="AB104" s="19">
        <v>145</v>
      </c>
      <c r="AC104" s="19">
        <v>6.9</v>
      </c>
      <c r="AD104" s="20">
        <f t="shared" si="28"/>
        <v>0</v>
      </c>
      <c r="AE104" s="20">
        <f t="shared" si="39"/>
        <v>0</v>
      </c>
      <c r="AF104" s="20">
        <f t="shared" si="40"/>
        <v>0</v>
      </c>
      <c r="AG104" s="19">
        <v>690</v>
      </c>
      <c r="AH104" s="20">
        <v>25.7</v>
      </c>
      <c r="AI104" s="20">
        <f t="shared" si="30"/>
        <v>715.7</v>
      </c>
      <c r="AJ104" s="1" t="s">
        <v>365</v>
      </c>
      <c r="AK104" s="1" t="s">
        <v>365</v>
      </c>
      <c r="AL104" s="1"/>
      <c r="AM104" s="1" t="s">
        <v>375</v>
      </c>
      <c r="AN104" s="1"/>
    </row>
    <row r="105" spans="1:40" s="14" customFormat="1" ht="12" customHeight="1" x14ac:dyDescent="0.3">
      <c r="A105" s="8" t="s">
        <v>37</v>
      </c>
      <c r="B105" s="8" t="s">
        <v>273</v>
      </c>
      <c r="C105" s="8" t="s">
        <v>364</v>
      </c>
      <c r="D105" s="8" t="s">
        <v>39</v>
      </c>
      <c r="E105" s="8" t="s">
        <v>323</v>
      </c>
      <c r="F105" s="9">
        <v>179596</v>
      </c>
      <c r="G105" s="9">
        <v>1564470.1564470001</v>
      </c>
      <c r="H105" s="9">
        <v>5283</v>
      </c>
      <c r="I105" s="8" t="s">
        <v>88</v>
      </c>
      <c r="J105" s="8" t="s">
        <v>324</v>
      </c>
      <c r="K105" s="16" t="s">
        <v>108</v>
      </c>
      <c r="L105" s="16" t="s">
        <v>54</v>
      </c>
      <c r="M105" s="16" t="s">
        <v>325</v>
      </c>
      <c r="N105" s="8" t="s">
        <v>195</v>
      </c>
      <c r="O105" s="15">
        <v>23822</v>
      </c>
      <c r="P105" s="15">
        <v>26539</v>
      </c>
      <c r="Q105" s="15">
        <f t="shared" si="24"/>
        <v>2717</v>
      </c>
      <c r="R105" s="6">
        <v>2700</v>
      </c>
      <c r="S105" s="2">
        <f t="shared" si="25"/>
        <v>17</v>
      </c>
      <c r="T105" s="2">
        <v>0</v>
      </c>
      <c r="U105" s="3">
        <v>46170.208333333336</v>
      </c>
      <c r="V105" s="3">
        <v>46170.208333333336</v>
      </c>
      <c r="W105" s="3" t="b">
        <f>U105=V105</f>
        <v>1</v>
      </c>
      <c r="X105" s="3">
        <v>46174.506944444445</v>
      </c>
      <c r="Y105" s="4">
        <f t="shared" si="38"/>
        <v>4.2986111111094942</v>
      </c>
      <c r="Z105" s="7">
        <v>3.75</v>
      </c>
      <c r="AA105" s="4">
        <f t="shared" si="27"/>
        <v>0.54861111110949423</v>
      </c>
      <c r="AB105" s="19">
        <v>145</v>
      </c>
      <c r="AC105" s="19">
        <v>6.9</v>
      </c>
      <c r="AD105" s="20">
        <f t="shared" si="28"/>
        <v>1909.1666666610399</v>
      </c>
      <c r="AE105" s="20">
        <f t="shared" si="39"/>
        <v>117.30000000000001</v>
      </c>
      <c r="AF105" s="20">
        <f t="shared" si="40"/>
        <v>0</v>
      </c>
      <c r="AG105" s="19">
        <v>22635.930000000004</v>
      </c>
      <c r="AH105" s="20">
        <v>29.5</v>
      </c>
      <c r="AI105" s="20">
        <f t="shared" si="30"/>
        <v>24691.896666661043</v>
      </c>
      <c r="AJ105" s="1" t="s">
        <v>365</v>
      </c>
      <c r="AK105" s="1" t="s">
        <v>365</v>
      </c>
      <c r="AL105" s="1"/>
      <c r="AM105" s="1" t="s">
        <v>389</v>
      </c>
      <c r="AN105" s="1"/>
    </row>
    <row r="106" spans="1:40" s="14" customFormat="1" ht="12" customHeight="1" x14ac:dyDescent="0.3">
      <c r="A106" s="8" t="s">
        <v>37</v>
      </c>
      <c r="B106" s="8" t="s">
        <v>273</v>
      </c>
      <c r="C106" s="8" t="s">
        <v>364</v>
      </c>
      <c r="D106" s="8" t="s">
        <v>39</v>
      </c>
      <c r="E106" s="8" t="s">
        <v>326</v>
      </c>
      <c r="F106" s="9">
        <v>179605</v>
      </c>
      <c r="G106" s="9">
        <v>1565919</v>
      </c>
      <c r="H106" s="9">
        <v>5286</v>
      </c>
      <c r="I106" s="8" t="s">
        <v>327</v>
      </c>
      <c r="J106" s="8" t="s">
        <v>328</v>
      </c>
      <c r="K106" s="16" t="s">
        <v>316</v>
      </c>
      <c r="L106" s="16" t="s">
        <v>71</v>
      </c>
      <c r="M106" s="16" t="s">
        <v>329</v>
      </c>
      <c r="N106" s="8" t="s">
        <v>71</v>
      </c>
      <c r="O106" s="15">
        <v>178738</v>
      </c>
      <c r="P106" s="15">
        <v>178751</v>
      </c>
      <c r="Q106" s="15">
        <f t="shared" si="24"/>
        <v>13</v>
      </c>
      <c r="R106" s="6">
        <v>100</v>
      </c>
      <c r="S106" s="2" t="str">
        <f t="shared" si="25"/>
        <v>0</v>
      </c>
      <c r="T106" s="2">
        <v>0</v>
      </c>
      <c r="U106" s="3">
        <v>46170.354166666664</v>
      </c>
      <c r="V106" s="3">
        <v>46170.354166666664</v>
      </c>
      <c r="W106" s="3" t="b">
        <f t="shared" ref="W106:W108" si="43">V106=U106</f>
        <v>1</v>
      </c>
      <c r="X106" s="3">
        <v>46170.488888888889</v>
      </c>
      <c r="Y106" s="4">
        <f t="shared" si="38"/>
        <v>0.13472222222480923</v>
      </c>
      <c r="Z106" s="7">
        <v>0.125</v>
      </c>
      <c r="AA106" s="4">
        <f t="shared" si="27"/>
        <v>9.7222222248092294E-3</v>
      </c>
      <c r="AB106" s="19">
        <v>145</v>
      </c>
      <c r="AC106" s="19">
        <v>6.9</v>
      </c>
      <c r="AD106" s="20">
        <f t="shared" si="28"/>
        <v>33.833333342336118</v>
      </c>
      <c r="AE106" s="20">
        <f t="shared" si="39"/>
        <v>0</v>
      </c>
      <c r="AF106" s="20">
        <f t="shared" si="40"/>
        <v>0</v>
      </c>
      <c r="AG106" s="19">
        <v>690</v>
      </c>
      <c r="AH106" s="20">
        <v>0</v>
      </c>
      <c r="AI106" s="20">
        <f t="shared" si="30"/>
        <v>723.83333334233612</v>
      </c>
      <c r="AJ106" s="1" t="s">
        <v>365</v>
      </c>
      <c r="AK106" s="1" t="s">
        <v>365</v>
      </c>
      <c r="AL106" s="1"/>
      <c r="AM106" s="1" t="s">
        <v>375</v>
      </c>
      <c r="AN106" s="1"/>
    </row>
    <row r="107" spans="1:40" s="14" customFormat="1" ht="12" customHeight="1" x14ac:dyDescent="0.3">
      <c r="A107" s="8" t="s">
        <v>37</v>
      </c>
      <c r="B107" s="8" t="s">
        <v>273</v>
      </c>
      <c r="C107" s="8" t="s">
        <v>364</v>
      </c>
      <c r="D107" s="8" t="s">
        <v>39</v>
      </c>
      <c r="E107" s="8" t="s">
        <v>84</v>
      </c>
      <c r="F107" s="9">
        <v>179623</v>
      </c>
      <c r="G107" s="9">
        <v>1565124</v>
      </c>
      <c r="H107" s="9">
        <v>5290</v>
      </c>
      <c r="I107" s="8" t="s">
        <v>256</v>
      </c>
      <c r="J107" s="8" t="s">
        <v>330</v>
      </c>
      <c r="K107" s="16" t="s">
        <v>331</v>
      </c>
      <c r="L107" s="16" t="s">
        <v>86</v>
      </c>
      <c r="M107" s="16" t="s">
        <v>332</v>
      </c>
      <c r="N107" s="8" t="s">
        <v>54</v>
      </c>
      <c r="O107" s="15">
        <v>98265</v>
      </c>
      <c r="P107" s="15">
        <v>98367</v>
      </c>
      <c r="Q107" s="15">
        <f t="shared" si="24"/>
        <v>102</v>
      </c>
      <c r="R107" s="6">
        <v>100</v>
      </c>
      <c r="S107" s="2">
        <f t="shared" si="25"/>
        <v>2</v>
      </c>
      <c r="T107" s="2">
        <v>0</v>
      </c>
      <c r="U107" s="3">
        <v>46169.840277777781</v>
      </c>
      <c r="V107" s="3">
        <v>46169.840277777781</v>
      </c>
      <c r="W107" s="3" t="b">
        <f t="shared" si="43"/>
        <v>1</v>
      </c>
      <c r="X107" s="3">
        <v>46169.965277777781</v>
      </c>
      <c r="Y107" s="4">
        <f t="shared" si="38"/>
        <v>0.125</v>
      </c>
      <c r="Z107" s="7">
        <v>0.125</v>
      </c>
      <c r="AA107" s="4">
        <f t="shared" si="27"/>
        <v>0</v>
      </c>
      <c r="AB107" s="19">
        <v>145</v>
      </c>
      <c r="AC107" s="19">
        <v>6.9</v>
      </c>
      <c r="AD107" s="20">
        <f t="shared" si="28"/>
        <v>0</v>
      </c>
      <c r="AE107" s="20">
        <f t="shared" si="39"/>
        <v>13.8</v>
      </c>
      <c r="AF107" s="20">
        <f t="shared" si="40"/>
        <v>0</v>
      </c>
      <c r="AG107" s="19">
        <v>690</v>
      </c>
      <c r="AH107" s="20">
        <v>7.4</v>
      </c>
      <c r="AI107" s="20">
        <f t="shared" si="30"/>
        <v>711.19999999999993</v>
      </c>
      <c r="AJ107" s="1" t="s">
        <v>365</v>
      </c>
      <c r="AK107" s="1" t="s">
        <v>365</v>
      </c>
      <c r="AL107" s="1"/>
      <c r="AM107" s="1" t="s">
        <v>375</v>
      </c>
      <c r="AN107" s="1"/>
    </row>
    <row r="108" spans="1:40" s="14" customFormat="1" ht="12" customHeight="1" x14ac:dyDescent="0.3">
      <c r="A108" s="8" t="s">
        <v>37</v>
      </c>
      <c r="B108" s="8" t="s">
        <v>273</v>
      </c>
      <c r="C108" s="8" t="s">
        <v>364</v>
      </c>
      <c r="D108" s="8" t="s">
        <v>39</v>
      </c>
      <c r="E108" s="8" t="s">
        <v>84</v>
      </c>
      <c r="F108" s="9">
        <v>179624</v>
      </c>
      <c r="G108" s="9">
        <v>1565124</v>
      </c>
      <c r="H108" s="9">
        <v>5291</v>
      </c>
      <c r="I108" s="8" t="s">
        <v>256</v>
      </c>
      <c r="J108" s="8" t="s">
        <v>330</v>
      </c>
      <c r="K108" s="16" t="s">
        <v>331</v>
      </c>
      <c r="L108" s="16" t="s">
        <v>86</v>
      </c>
      <c r="M108" s="16" t="s">
        <v>332</v>
      </c>
      <c r="N108" s="8" t="s">
        <v>54</v>
      </c>
      <c r="O108" s="15">
        <v>252178</v>
      </c>
      <c r="P108" s="15">
        <v>252289</v>
      </c>
      <c r="Q108" s="15">
        <f t="shared" si="24"/>
        <v>111</v>
      </c>
      <c r="R108" s="6">
        <v>100</v>
      </c>
      <c r="S108" s="2">
        <f t="shared" si="25"/>
        <v>11</v>
      </c>
      <c r="T108" s="2">
        <v>0</v>
      </c>
      <c r="U108" s="3">
        <v>46169.840277777781</v>
      </c>
      <c r="V108" s="3">
        <v>46169.840277777781</v>
      </c>
      <c r="W108" s="3" t="b">
        <f t="shared" si="43"/>
        <v>1</v>
      </c>
      <c r="X108" s="3">
        <v>46169.965277777781</v>
      </c>
      <c r="Y108" s="4">
        <f t="shared" si="38"/>
        <v>0.125</v>
      </c>
      <c r="Z108" s="7">
        <v>0.125</v>
      </c>
      <c r="AA108" s="4">
        <f t="shared" si="27"/>
        <v>0</v>
      </c>
      <c r="AB108" s="19">
        <v>145</v>
      </c>
      <c r="AC108" s="19">
        <v>6.9</v>
      </c>
      <c r="AD108" s="20">
        <f t="shared" si="28"/>
        <v>0</v>
      </c>
      <c r="AE108" s="20">
        <f t="shared" si="39"/>
        <v>75.900000000000006</v>
      </c>
      <c r="AF108" s="20">
        <f t="shared" si="40"/>
        <v>0</v>
      </c>
      <c r="AG108" s="19">
        <v>690</v>
      </c>
      <c r="AH108" s="20">
        <v>7.4</v>
      </c>
      <c r="AI108" s="20">
        <f t="shared" si="30"/>
        <v>773.3</v>
      </c>
      <c r="AJ108" s="1" t="s">
        <v>365</v>
      </c>
      <c r="AK108" s="1" t="s">
        <v>365</v>
      </c>
      <c r="AL108" s="1"/>
      <c r="AM108" s="1" t="s">
        <v>375</v>
      </c>
      <c r="AN108" s="1"/>
    </row>
    <row r="109" spans="1:40" s="14" customFormat="1" ht="12" customHeight="1" x14ac:dyDescent="0.3">
      <c r="A109" s="8" t="s">
        <v>37</v>
      </c>
      <c r="B109" s="8" t="s">
        <v>273</v>
      </c>
      <c r="C109" s="8" t="s">
        <v>364</v>
      </c>
      <c r="D109" s="8" t="s">
        <v>39</v>
      </c>
      <c r="E109" s="8" t="s">
        <v>99</v>
      </c>
      <c r="F109" s="9">
        <v>179627</v>
      </c>
      <c r="G109" s="9">
        <v>1564319</v>
      </c>
      <c r="H109" s="9">
        <v>5292</v>
      </c>
      <c r="I109" s="8" t="s">
        <v>92</v>
      </c>
      <c r="J109" s="8" t="s">
        <v>333</v>
      </c>
      <c r="K109" s="16" t="s">
        <v>334</v>
      </c>
      <c r="L109" s="16" t="s">
        <v>86</v>
      </c>
      <c r="M109" s="16" t="s">
        <v>55</v>
      </c>
      <c r="N109" s="8" t="s">
        <v>86</v>
      </c>
      <c r="O109" s="15">
        <v>125959</v>
      </c>
      <c r="P109" s="15">
        <v>126207</v>
      </c>
      <c r="Q109" s="15">
        <f t="shared" si="24"/>
        <v>248</v>
      </c>
      <c r="R109" s="6">
        <v>200</v>
      </c>
      <c r="S109" s="2">
        <f t="shared" si="25"/>
        <v>48</v>
      </c>
      <c r="T109" s="2">
        <v>0</v>
      </c>
      <c r="U109" s="3">
        <v>46169.854166666664</v>
      </c>
      <c r="V109" s="3">
        <v>46169.854166666664</v>
      </c>
      <c r="W109" s="3" t="b">
        <f t="shared" ref="W109:W111" si="44">U109=V109</f>
        <v>1</v>
      </c>
      <c r="X109" s="3">
        <v>46170.0625</v>
      </c>
      <c r="Y109" s="4">
        <f t="shared" si="38"/>
        <v>0.20833333333575865</v>
      </c>
      <c r="Z109" s="7">
        <v>0.20833333333333334</v>
      </c>
      <c r="AA109" s="4">
        <f t="shared" si="27"/>
        <v>2.4253099528692701E-12</v>
      </c>
      <c r="AB109" s="19">
        <v>145</v>
      </c>
      <c r="AC109" s="19">
        <v>6.9</v>
      </c>
      <c r="AD109" s="20">
        <f t="shared" si="28"/>
        <v>8.4400786359850599E-9</v>
      </c>
      <c r="AE109" s="20">
        <f t="shared" si="39"/>
        <v>331.20000000000005</v>
      </c>
      <c r="AF109" s="20">
        <f t="shared" si="40"/>
        <v>0</v>
      </c>
      <c r="AG109" s="19">
        <v>1048.8</v>
      </c>
      <c r="AH109" s="20">
        <v>35</v>
      </c>
      <c r="AI109" s="20">
        <f t="shared" si="30"/>
        <v>1415.0000000084401</v>
      </c>
      <c r="AJ109" s="1" t="s">
        <v>365</v>
      </c>
      <c r="AK109" s="1" t="s">
        <v>365</v>
      </c>
      <c r="AL109" s="1"/>
      <c r="AM109" s="1" t="s">
        <v>372</v>
      </c>
      <c r="AN109" s="1"/>
    </row>
    <row r="110" spans="1:40" s="14" customFormat="1" ht="12" customHeight="1" x14ac:dyDescent="0.3">
      <c r="A110" s="8" t="s">
        <v>37</v>
      </c>
      <c r="B110" s="8" t="s">
        <v>273</v>
      </c>
      <c r="C110" s="8" t="s">
        <v>364</v>
      </c>
      <c r="D110" s="8" t="s">
        <v>83</v>
      </c>
      <c r="E110" s="8" t="s">
        <v>335</v>
      </c>
      <c r="F110" s="9">
        <v>179628</v>
      </c>
      <c r="G110" s="9">
        <v>1565736.1565735999</v>
      </c>
      <c r="H110" s="9">
        <v>5299</v>
      </c>
      <c r="I110" s="8" t="s">
        <v>336</v>
      </c>
      <c r="J110" s="8" t="s">
        <v>337</v>
      </c>
      <c r="K110" s="16" t="s">
        <v>338</v>
      </c>
      <c r="L110" s="16" t="s">
        <v>54</v>
      </c>
      <c r="M110" s="16" t="s">
        <v>339</v>
      </c>
      <c r="N110" s="8" t="s">
        <v>86</v>
      </c>
      <c r="O110" s="15">
        <v>0</v>
      </c>
      <c r="P110" s="15">
        <v>0</v>
      </c>
      <c r="Q110" s="15">
        <f t="shared" si="24"/>
        <v>0</v>
      </c>
      <c r="R110" s="6">
        <v>100</v>
      </c>
      <c r="S110" s="2" t="str">
        <f t="shared" si="25"/>
        <v>0</v>
      </c>
      <c r="T110" s="2">
        <v>0</v>
      </c>
      <c r="U110" s="3">
        <v>46170.416666666664</v>
      </c>
      <c r="V110" s="3">
        <v>46170.416666666664</v>
      </c>
      <c r="W110" s="3" t="b">
        <f t="shared" si="44"/>
        <v>1</v>
      </c>
      <c r="X110" s="3">
        <v>46170.541666666672</v>
      </c>
      <c r="Y110" s="4">
        <f t="shared" si="38"/>
        <v>0.12500000000727596</v>
      </c>
      <c r="Z110" s="7">
        <v>0.125</v>
      </c>
      <c r="AA110" s="4">
        <f t="shared" si="27"/>
        <v>7.2759576141834259E-12</v>
      </c>
      <c r="AB110" s="19">
        <v>145</v>
      </c>
      <c r="AC110" s="19">
        <v>6.9</v>
      </c>
      <c r="AD110" s="20">
        <f t="shared" si="28"/>
        <v>2.5320332497358322E-8</v>
      </c>
      <c r="AE110" s="20">
        <f t="shared" si="39"/>
        <v>0</v>
      </c>
      <c r="AF110" s="20">
        <f t="shared" si="40"/>
        <v>0</v>
      </c>
      <c r="AG110" s="19">
        <v>690</v>
      </c>
      <c r="AH110" s="20">
        <v>0</v>
      </c>
      <c r="AI110" s="20">
        <f t="shared" si="30"/>
        <v>690.00000002532033</v>
      </c>
      <c r="AJ110" s="1" t="s">
        <v>58</v>
      </c>
      <c r="AK110" s="1"/>
      <c r="AL110" s="1"/>
      <c r="AM110" s="1" t="s">
        <v>365</v>
      </c>
      <c r="AN110" s="1"/>
    </row>
    <row r="111" spans="1:40" s="14" customFormat="1" ht="12" customHeight="1" x14ac:dyDescent="0.3">
      <c r="A111" s="8" t="s">
        <v>37</v>
      </c>
      <c r="B111" s="8" t="s">
        <v>273</v>
      </c>
      <c r="C111" s="8" t="s">
        <v>364</v>
      </c>
      <c r="D111" s="8" t="s">
        <v>83</v>
      </c>
      <c r="E111" s="8" t="s">
        <v>335</v>
      </c>
      <c r="F111" s="9">
        <v>179629</v>
      </c>
      <c r="G111" s="9">
        <v>1565736.1565735999</v>
      </c>
      <c r="H111" s="9">
        <v>5300</v>
      </c>
      <c r="I111" s="8" t="s">
        <v>117</v>
      </c>
      <c r="J111" s="8" t="s">
        <v>337</v>
      </c>
      <c r="K111" s="16" t="s">
        <v>338</v>
      </c>
      <c r="L111" s="16" t="s">
        <v>54</v>
      </c>
      <c r="M111" s="16" t="s">
        <v>339</v>
      </c>
      <c r="N111" s="8" t="s">
        <v>86</v>
      </c>
      <c r="O111" s="15">
        <v>0</v>
      </c>
      <c r="P111" s="15">
        <v>0</v>
      </c>
      <c r="Q111" s="15">
        <f t="shared" si="24"/>
        <v>0</v>
      </c>
      <c r="R111" s="6">
        <v>100</v>
      </c>
      <c r="S111" s="2" t="str">
        <f t="shared" si="25"/>
        <v>0</v>
      </c>
      <c r="T111" s="2">
        <v>0</v>
      </c>
      <c r="U111" s="3">
        <v>46170.416666666664</v>
      </c>
      <c r="V111" s="3">
        <v>46170.416666666664</v>
      </c>
      <c r="W111" s="3" t="b">
        <f t="shared" si="44"/>
        <v>1</v>
      </c>
      <c r="X111" s="3">
        <v>46170.541666666672</v>
      </c>
      <c r="Y111" s="4">
        <f t="shared" si="38"/>
        <v>0.12500000000727596</v>
      </c>
      <c r="Z111" s="7">
        <v>0.125</v>
      </c>
      <c r="AA111" s="4">
        <f t="shared" si="27"/>
        <v>7.2759576141834259E-12</v>
      </c>
      <c r="AB111" s="19">
        <v>145</v>
      </c>
      <c r="AC111" s="19">
        <v>6.9</v>
      </c>
      <c r="AD111" s="20">
        <f t="shared" si="28"/>
        <v>2.5320332497358322E-8</v>
      </c>
      <c r="AE111" s="20">
        <f t="shared" si="39"/>
        <v>0</v>
      </c>
      <c r="AF111" s="20">
        <f t="shared" si="40"/>
        <v>0</v>
      </c>
      <c r="AG111" s="19">
        <v>690</v>
      </c>
      <c r="AH111" s="20">
        <v>0</v>
      </c>
      <c r="AI111" s="20">
        <f t="shared" si="30"/>
        <v>690.00000002532033</v>
      </c>
      <c r="AJ111" s="1" t="s">
        <v>58</v>
      </c>
      <c r="AK111" s="1"/>
      <c r="AL111" s="1"/>
      <c r="AM111" s="1" t="s">
        <v>365</v>
      </c>
      <c r="AN111" s="1"/>
    </row>
    <row r="112" spans="1:40" s="14" customFormat="1" ht="12" customHeight="1" x14ac:dyDescent="0.3">
      <c r="A112" s="8" t="s">
        <v>37</v>
      </c>
      <c r="B112" s="8" t="s">
        <v>273</v>
      </c>
      <c r="C112" s="8" t="s">
        <v>364</v>
      </c>
      <c r="D112" s="8" t="s">
        <v>39</v>
      </c>
      <c r="E112" s="8" t="s">
        <v>335</v>
      </c>
      <c r="F112" s="9">
        <v>179632</v>
      </c>
      <c r="G112" s="9">
        <v>1565744</v>
      </c>
      <c r="H112" s="9">
        <v>5298</v>
      </c>
      <c r="I112" s="8" t="s">
        <v>340</v>
      </c>
      <c r="J112" s="8" t="s">
        <v>341</v>
      </c>
      <c r="K112" s="16" t="s">
        <v>338</v>
      </c>
      <c r="L112" s="16" t="s">
        <v>54</v>
      </c>
      <c r="M112" s="16" t="s">
        <v>339</v>
      </c>
      <c r="N112" s="8" t="s">
        <v>86</v>
      </c>
      <c r="O112" s="15">
        <v>11915</v>
      </c>
      <c r="P112" s="15">
        <v>12042</v>
      </c>
      <c r="Q112" s="15">
        <f t="shared" si="24"/>
        <v>127</v>
      </c>
      <c r="R112" s="6">
        <v>100</v>
      </c>
      <c r="S112" s="2">
        <f t="shared" si="25"/>
        <v>27</v>
      </c>
      <c r="T112" s="2">
        <v>0</v>
      </c>
      <c r="U112" s="3">
        <v>46170.416666666664</v>
      </c>
      <c r="V112" s="3">
        <v>46170.416666666664</v>
      </c>
      <c r="W112" s="3" t="b">
        <f>V112=U112</f>
        <v>1</v>
      </c>
      <c r="X112" s="3">
        <v>46170.659722222219</v>
      </c>
      <c r="Y112" s="4">
        <f t="shared" si="38"/>
        <v>0.24305555555474712</v>
      </c>
      <c r="Z112" s="7">
        <v>0.125</v>
      </c>
      <c r="AA112" s="4">
        <f t="shared" si="27"/>
        <v>0.11805555555474712</v>
      </c>
      <c r="AB112" s="19">
        <v>145</v>
      </c>
      <c r="AC112" s="19">
        <v>6.9</v>
      </c>
      <c r="AD112" s="20">
        <f t="shared" si="28"/>
        <v>410.83333333051996</v>
      </c>
      <c r="AE112" s="20">
        <f t="shared" si="39"/>
        <v>186.3</v>
      </c>
      <c r="AF112" s="20">
        <f t="shared" si="40"/>
        <v>0</v>
      </c>
      <c r="AG112" s="19">
        <v>690.00000000000023</v>
      </c>
      <c r="AH112" s="20">
        <v>37.299999999999997</v>
      </c>
      <c r="AI112" s="20">
        <f t="shared" si="30"/>
        <v>1324.4333333305201</v>
      </c>
      <c r="AJ112" s="1" t="s">
        <v>365</v>
      </c>
      <c r="AK112" s="1" t="s">
        <v>365</v>
      </c>
      <c r="AL112" s="1"/>
      <c r="AM112" s="1" t="s">
        <v>375</v>
      </c>
      <c r="AN112" s="1"/>
    </row>
    <row r="113" spans="1:40" s="14" customFormat="1" ht="12" customHeight="1" x14ac:dyDescent="0.3">
      <c r="A113" s="8" t="s">
        <v>37</v>
      </c>
      <c r="B113" s="8" t="s">
        <v>273</v>
      </c>
      <c r="C113" s="8" t="s">
        <v>364</v>
      </c>
      <c r="D113" s="8" t="s">
        <v>83</v>
      </c>
      <c r="E113" s="8" t="s">
        <v>50</v>
      </c>
      <c r="F113" s="9">
        <v>179646</v>
      </c>
      <c r="G113" s="9">
        <v>1564495</v>
      </c>
      <c r="H113" s="8">
        <v>5301</v>
      </c>
      <c r="I113" s="8" t="s">
        <v>122</v>
      </c>
      <c r="J113" s="8" t="s">
        <v>42</v>
      </c>
      <c r="K113" s="16" t="s">
        <v>53</v>
      </c>
      <c r="L113" s="16" t="s">
        <v>54</v>
      </c>
      <c r="M113" s="16" t="s">
        <v>55</v>
      </c>
      <c r="N113" s="8" t="s">
        <v>54</v>
      </c>
      <c r="O113" s="15">
        <v>0</v>
      </c>
      <c r="P113" s="15">
        <v>0</v>
      </c>
      <c r="Q113" s="15">
        <f t="shared" si="24"/>
        <v>0</v>
      </c>
      <c r="R113" s="6">
        <v>100</v>
      </c>
      <c r="S113" s="2" t="str">
        <f t="shared" si="25"/>
        <v>0</v>
      </c>
      <c r="T113" s="2">
        <v>0</v>
      </c>
      <c r="U113" s="3">
        <v>46170.041666666664</v>
      </c>
      <c r="V113" s="3">
        <v>46170.041666666664</v>
      </c>
      <c r="W113" s="3" t="b">
        <f t="shared" ref="W113:W117" si="45">U113=V113</f>
        <v>1</v>
      </c>
      <c r="X113" s="3">
        <v>46170.166666666672</v>
      </c>
      <c r="Y113" s="4">
        <f t="shared" si="38"/>
        <v>0.12500000000727596</v>
      </c>
      <c r="Z113" s="7">
        <v>0.125</v>
      </c>
      <c r="AA113" s="4">
        <f t="shared" si="27"/>
        <v>7.2759576141834259E-12</v>
      </c>
      <c r="AB113" s="19">
        <v>145</v>
      </c>
      <c r="AC113" s="19">
        <v>6.9</v>
      </c>
      <c r="AD113" s="20">
        <f t="shared" si="28"/>
        <v>2.5320332497358322E-8</v>
      </c>
      <c r="AE113" s="20">
        <f t="shared" si="39"/>
        <v>0</v>
      </c>
      <c r="AF113" s="20">
        <f t="shared" si="40"/>
        <v>0</v>
      </c>
      <c r="AG113" s="19">
        <v>690</v>
      </c>
      <c r="AH113" s="20">
        <v>0</v>
      </c>
      <c r="AI113" s="20">
        <f t="shared" si="30"/>
        <v>690.00000002532033</v>
      </c>
      <c r="AJ113" s="1" t="s">
        <v>58</v>
      </c>
      <c r="AK113" s="1"/>
      <c r="AL113" s="1"/>
      <c r="AM113" s="1" t="s">
        <v>365</v>
      </c>
      <c r="AN113" s="1"/>
    </row>
    <row r="114" spans="1:40" s="14" customFormat="1" ht="12" customHeight="1" x14ac:dyDescent="0.3">
      <c r="A114" s="8" t="s">
        <v>37</v>
      </c>
      <c r="B114" s="8" t="s">
        <v>273</v>
      </c>
      <c r="C114" s="8" t="s">
        <v>364</v>
      </c>
      <c r="D114" s="8" t="s">
        <v>39</v>
      </c>
      <c r="E114" s="8" t="s">
        <v>103</v>
      </c>
      <c r="F114" s="9">
        <v>179712</v>
      </c>
      <c r="G114" s="8" t="s">
        <v>342</v>
      </c>
      <c r="H114" s="9">
        <v>5313</v>
      </c>
      <c r="I114" s="8" t="s">
        <v>343</v>
      </c>
      <c r="J114" s="8" t="s">
        <v>344</v>
      </c>
      <c r="K114" s="16" t="s">
        <v>345</v>
      </c>
      <c r="L114" s="16" t="s">
        <v>44</v>
      </c>
      <c r="M114" s="16" t="s">
        <v>346</v>
      </c>
      <c r="N114" s="8" t="s">
        <v>189</v>
      </c>
      <c r="O114" s="15">
        <v>75935</v>
      </c>
      <c r="P114" s="15">
        <v>76135</v>
      </c>
      <c r="Q114" s="15">
        <f t="shared" si="24"/>
        <v>200</v>
      </c>
      <c r="R114" s="6">
        <v>200</v>
      </c>
      <c r="S114" s="2">
        <f t="shared" si="25"/>
        <v>0</v>
      </c>
      <c r="T114" s="2">
        <v>0</v>
      </c>
      <c r="U114" s="3">
        <v>46170.833333333336</v>
      </c>
      <c r="V114" s="3">
        <v>46170.833333333336</v>
      </c>
      <c r="W114" s="3" t="b">
        <f t="shared" si="45"/>
        <v>1</v>
      </c>
      <c r="X114" s="3">
        <v>46171.115972222222</v>
      </c>
      <c r="Y114" s="4">
        <f t="shared" si="38"/>
        <v>0.28263888888614019</v>
      </c>
      <c r="Z114" s="7">
        <v>0.20833333333333334</v>
      </c>
      <c r="AA114" s="4">
        <f t="shared" si="27"/>
        <v>7.4305555552806851E-2</v>
      </c>
      <c r="AB114" s="19">
        <v>145</v>
      </c>
      <c r="AC114" s="19">
        <v>7.35</v>
      </c>
      <c r="AD114" s="20">
        <f t="shared" si="28"/>
        <v>258.58333332376787</v>
      </c>
      <c r="AE114" s="20">
        <f t="shared" si="39"/>
        <v>0</v>
      </c>
      <c r="AF114" s="20">
        <f t="shared" si="40"/>
        <v>0</v>
      </c>
      <c r="AG114" s="19">
        <v>1470</v>
      </c>
      <c r="AH114" s="20">
        <v>35</v>
      </c>
      <c r="AI114" s="20">
        <f t="shared" si="30"/>
        <v>1763.5833333237679</v>
      </c>
      <c r="AJ114" s="1" t="s">
        <v>365</v>
      </c>
      <c r="AK114" s="1" t="s">
        <v>365</v>
      </c>
      <c r="AL114" s="1" t="s">
        <v>365</v>
      </c>
      <c r="AM114" s="1" t="s">
        <v>365</v>
      </c>
      <c r="AN114" s="1"/>
    </row>
    <row r="115" spans="1:40" s="14" customFormat="1" ht="12" customHeight="1" x14ac:dyDescent="0.3">
      <c r="A115" s="8" t="s">
        <v>37</v>
      </c>
      <c r="B115" s="8" t="s">
        <v>273</v>
      </c>
      <c r="C115" s="8" t="s">
        <v>364</v>
      </c>
      <c r="D115" s="8" t="s">
        <v>39</v>
      </c>
      <c r="E115" s="8" t="s">
        <v>50</v>
      </c>
      <c r="F115" s="9">
        <v>179741</v>
      </c>
      <c r="G115" s="9">
        <v>1566167.1566167001</v>
      </c>
      <c r="H115" s="8">
        <v>5317</v>
      </c>
      <c r="I115" s="8" t="s">
        <v>347</v>
      </c>
      <c r="J115" s="8" t="s">
        <v>269</v>
      </c>
      <c r="K115" s="16" t="s">
        <v>59</v>
      </c>
      <c r="L115" s="8" t="s">
        <v>54</v>
      </c>
      <c r="M115" s="16" t="s">
        <v>55</v>
      </c>
      <c r="N115" s="8" t="s">
        <v>54</v>
      </c>
      <c r="O115" s="15">
        <v>354349</v>
      </c>
      <c r="P115" s="15">
        <v>354425</v>
      </c>
      <c r="Q115" s="15">
        <f t="shared" si="24"/>
        <v>76</v>
      </c>
      <c r="R115" s="6">
        <v>100</v>
      </c>
      <c r="S115" s="2" t="str">
        <f t="shared" si="25"/>
        <v>0</v>
      </c>
      <c r="T115" s="2">
        <v>0</v>
      </c>
      <c r="U115" s="3">
        <v>46170.979166666664</v>
      </c>
      <c r="V115" s="3">
        <v>46170.972222222219</v>
      </c>
      <c r="W115" s="3" t="b">
        <f t="shared" si="45"/>
        <v>0</v>
      </c>
      <c r="X115" s="3">
        <v>46171.1875</v>
      </c>
      <c r="Y115" s="4">
        <f t="shared" si="38"/>
        <v>0.20833333333575865</v>
      </c>
      <c r="Z115" s="7">
        <v>0.20833333333333334</v>
      </c>
      <c r="AA115" s="4">
        <f t="shared" si="27"/>
        <v>2.4253099528692701E-12</v>
      </c>
      <c r="AB115" s="19">
        <v>145</v>
      </c>
      <c r="AC115" s="19">
        <v>6.9</v>
      </c>
      <c r="AD115" s="20">
        <f t="shared" si="28"/>
        <v>8.4400786359850599E-9</v>
      </c>
      <c r="AE115" s="20">
        <f t="shared" si="39"/>
        <v>0</v>
      </c>
      <c r="AF115" s="20">
        <f t="shared" si="40"/>
        <v>0</v>
      </c>
      <c r="AG115" s="19">
        <v>1380</v>
      </c>
      <c r="AH115" s="20">
        <v>10.9</v>
      </c>
      <c r="AI115" s="20">
        <f t="shared" si="30"/>
        <v>1390.9000000084402</v>
      </c>
      <c r="AJ115" s="1" t="s">
        <v>365</v>
      </c>
      <c r="AK115" s="1" t="s">
        <v>365</v>
      </c>
      <c r="AL115" s="1" t="s">
        <v>370</v>
      </c>
      <c r="AM115" s="1" t="s">
        <v>374</v>
      </c>
      <c r="AN115" s="1"/>
    </row>
    <row r="116" spans="1:40" s="14" customFormat="1" ht="12" customHeight="1" x14ac:dyDescent="0.3">
      <c r="A116" s="8" t="s">
        <v>37</v>
      </c>
      <c r="B116" s="8" t="s">
        <v>273</v>
      </c>
      <c r="C116" s="8" t="s">
        <v>364</v>
      </c>
      <c r="D116" s="8" t="s">
        <v>39</v>
      </c>
      <c r="E116" s="8" t="s">
        <v>348</v>
      </c>
      <c r="F116" s="9">
        <v>179746</v>
      </c>
      <c r="G116" s="8" t="s">
        <v>349</v>
      </c>
      <c r="H116" s="9">
        <v>5319</v>
      </c>
      <c r="I116" s="8" t="s">
        <v>134</v>
      </c>
      <c r="J116" s="8" t="s">
        <v>350</v>
      </c>
      <c r="K116" s="16" t="s">
        <v>108</v>
      </c>
      <c r="L116" s="16" t="s">
        <v>54</v>
      </c>
      <c r="M116" s="16" t="s">
        <v>351</v>
      </c>
      <c r="N116" s="8" t="s">
        <v>189</v>
      </c>
      <c r="O116" s="15">
        <v>98670</v>
      </c>
      <c r="P116" s="15">
        <v>99105</v>
      </c>
      <c r="Q116" s="15">
        <f t="shared" si="24"/>
        <v>435</v>
      </c>
      <c r="R116" s="6">
        <v>400</v>
      </c>
      <c r="S116" s="2">
        <f t="shared" si="25"/>
        <v>35</v>
      </c>
      <c r="T116" s="2">
        <v>0</v>
      </c>
      <c r="U116" s="3">
        <v>46171.006944444445</v>
      </c>
      <c r="V116" s="3">
        <v>46171.007638888892</v>
      </c>
      <c r="W116" s="3" t="b">
        <f t="shared" si="45"/>
        <v>0</v>
      </c>
      <c r="X116" s="3">
        <v>46171.423611111109</v>
      </c>
      <c r="Y116" s="4">
        <f t="shared" si="38"/>
        <v>0.41666666666424135</v>
      </c>
      <c r="Z116" s="7">
        <v>0.41666666666666669</v>
      </c>
      <c r="AA116" s="4" t="str">
        <f t="shared" si="27"/>
        <v>00:00:00</v>
      </c>
      <c r="AB116" s="19">
        <v>145</v>
      </c>
      <c r="AC116" s="19">
        <v>6.9</v>
      </c>
      <c r="AD116" s="20">
        <f t="shared" si="28"/>
        <v>0</v>
      </c>
      <c r="AE116" s="20">
        <f t="shared" si="39"/>
        <v>241.5</v>
      </c>
      <c r="AF116" s="20">
        <f t="shared" si="40"/>
        <v>0</v>
      </c>
      <c r="AG116" s="19">
        <v>2760</v>
      </c>
      <c r="AH116" s="20">
        <v>34.9</v>
      </c>
      <c r="AI116" s="20">
        <f t="shared" si="30"/>
        <v>3036.4</v>
      </c>
      <c r="AJ116" s="1" t="s">
        <v>365</v>
      </c>
      <c r="AK116" s="1" t="s">
        <v>365</v>
      </c>
      <c r="AL116" s="1"/>
      <c r="AM116" s="1" t="s">
        <v>377</v>
      </c>
      <c r="AN116" s="1"/>
    </row>
    <row r="117" spans="1:40" s="14" customFormat="1" ht="12" customHeight="1" x14ac:dyDescent="0.3">
      <c r="A117" s="8" t="s">
        <v>37</v>
      </c>
      <c r="B117" s="8" t="s">
        <v>273</v>
      </c>
      <c r="C117" s="8" t="s">
        <v>364</v>
      </c>
      <c r="D117" s="8" t="s">
        <v>39</v>
      </c>
      <c r="E117" s="8" t="s">
        <v>275</v>
      </c>
      <c r="F117" s="9">
        <v>179762</v>
      </c>
      <c r="G117" s="9">
        <v>1566958</v>
      </c>
      <c r="H117" s="9">
        <v>5327</v>
      </c>
      <c r="I117" s="8" t="s">
        <v>352</v>
      </c>
      <c r="J117" s="8" t="s">
        <v>353</v>
      </c>
      <c r="K117" s="16" t="s">
        <v>183</v>
      </c>
      <c r="L117" s="8" t="s">
        <v>77</v>
      </c>
      <c r="M117" s="16" t="s">
        <v>55</v>
      </c>
      <c r="N117" s="8" t="s">
        <v>77</v>
      </c>
      <c r="O117" s="15">
        <v>222902</v>
      </c>
      <c r="P117" s="15">
        <v>222921</v>
      </c>
      <c r="Q117" s="15">
        <f t="shared" si="24"/>
        <v>19</v>
      </c>
      <c r="R117" s="6">
        <v>100</v>
      </c>
      <c r="S117" s="2" t="str">
        <f t="shared" si="25"/>
        <v>0</v>
      </c>
      <c r="T117" s="2">
        <v>0</v>
      </c>
      <c r="U117" s="3">
        <v>46171.208333333336</v>
      </c>
      <c r="V117" s="3">
        <v>46171.229166666664</v>
      </c>
      <c r="W117" s="3" t="b">
        <f t="shared" si="45"/>
        <v>0</v>
      </c>
      <c r="X117" s="3">
        <v>46171.333333333328</v>
      </c>
      <c r="Y117" s="4">
        <f t="shared" si="38"/>
        <v>0.12499999999272404</v>
      </c>
      <c r="Z117" s="7">
        <v>0.125</v>
      </c>
      <c r="AA117" s="4" t="str">
        <f t="shared" si="27"/>
        <v>00:00:00</v>
      </c>
      <c r="AB117" s="19">
        <v>145</v>
      </c>
      <c r="AC117" s="19">
        <v>7.35</v>
      </c>
      <c r="AD117" s="20">
        <f t="shared" si="28"/>
        <v>0</v>
      </c>
      <c r="AE117" s="20">
        <f t="shared" si="39"/>
        <v>0</v>
      </c>
      <c r="AF117" s="20">
        <f t="shared" si="40"/>
        <v>0</v>
      </c>
      <c r="AG117" s="19">
        <v>735</v>
      </c>
      <c r="AH117" s="20">
        <v>0</v>
      </c>
      <c r="AI117" s="20">
        <f t="shared" si="30"/>
        <v>735</v>
      </c>
      <c r="AJ117" s="1" t="s">
        <v>365</v>
      </c>
      <c r="AK117" s="1" t="s">
        <v>365</v>
      </c>
      <c r="AL117" s="1"/>
      <c r="AM117" s="1" t="s">
        <v>370</v>
      </c>
      <c r="AN117" s="1"/>
    </row>
    <row r="118" spans="1:40" s="14" customFormat="1" ht="12" customHeight="1" x14ac:dyDescent="0.3">
      <c r="A118" s="8" t="s">
        <v>37</v>
      </c>
      <c r="B118" s="8" t="s">
        <v>273</v>
      </c>
      <c r="C118" s="8" t="s">
        <v>364</v>
      </c>
      <c r="D118" s="8" t="s">
        <v>39</v>
      </c>
      <c r="E118" s="8" t="s">
        <v>87</v>
      </c>
      <c r="F118" s="9">
        <v>179791</v>
      </c>
      <c r="G118" s="9">
        <v>1567612</v>
      </c>
      <c r="H118" s="9">
        <v>5331</v>
      </c>
      <c r="I118" s="8" t="s">
        <v>117</v>
      </c>
      <c r="J118" s="8" t="s">
        <v>354</v>
      </c>
      <c r="K118" s="16" t="s">
        <v>108</v>
      </c>
      <c r="L118" s="16" t="s">
        <v>54</v>
      </c>
      <c r="M118" s="16" t="s">
        <v>59</v>
      </c>
      <c r="N118" s="8" t="s">
        <v>54</v>
      </c>
      <c r="O118" s="15">
        <v>29424</v>
      </c>
      <c r="P118" s="15">
        <v>29513</v>
      </c>
      <c r="Q118" s="15">
        <f t="shared" si="24"/>
        <v>89</v>
      </c>
      <c r="R118" s="6">
        <v>100</v>
      </c>
      <c r="S118" s="2" t="str">
        <f t="shared" si="25"/>
        <v>0</v>
      </c>
      <c r="T118" s="2">
        <v>0</v>
      </c>
      <c r="U118" s="3">
        <v>46171.5625</v>
      </c>
      <c r="V118" s="3">
        <v>46171.5625</v>
      </c>
      <c r="W118" s="3" t="b">
        <f>V118=U118</f>
        <v>1</v>
      </c>
      <c r="X118" s="3">
        <v>46171.738888888889</v>
      </c>
      <c r="Y118" s="4">
        <f t="shared" si="38"/>
        <v>0.17638888888905058</v>
      </c>
      <c r="Z118" s="7">
        <v>0.125</v>
      </c>
      <c r="AA118" s="4">
        <f t="shared" si="27"/>
        <v>5.1388888889050577E-2</v>
      </c>
      <c r="AB118" s="19">
        <v>145</v>
      </c>
      <c r="AC118" s="19">
        <v>6.9</v>
      </c>
      <c r="AD118" s="20">
        <f t="shared" si="28"/>
        <v>178.83333333389601</v>
      </c>
      <c r="AE118" s="20">
        <f t="shared" si="39"/>
        <v>0</v>
      </c>
      <c r="AF118" s="20">
        <f t="shared" si="40"/>
        <v>0</v>
      </c>
      <c r="AG118" s="19">
        <v>690</v>
      </c>
      <c r="AH118" s="20">
        <v>5.9</v>
      </c>
      <c r="AI118" s="20">
        <f t="shared" si="30"/>
        <v>874.73333333389598</v>
      </c>
      <c r="AJ118" s="1" t="s">
        <v>365</v>
      </c>
      <c r="AK118" s="1" t="s">
        <v>365</v>
      </c>
      <c r="AL118" s="1"/>
      <c r="AM118" s="1" t="s">
        <v>375</v>
      </c>
      <c r="AN118" s="1"/>
    </row>
    <row r="119" spans="1:40" s="14" customFormat="1" ht="12" customHeight="1" x14ac:dyDescent="0.3">
      <c r="A119" s="8" t="s">
        <v>37</v>
      </c>
      <c r="B119" s="8" t="s">
        <v>273</v>
      </c>
      <c r="C119" s="8" t="s">
        <v>364</v>
      </c>
      <c r="D119" s="8" t="s">
        <v>39</v>
      </c>
      <c r="E119" s="8" t="s">
        <v>73</v>
      </c>
      <c r="F119" s="9">
        <v>179801</v>
      </c>
      <c r="G119" s="9">
        <v>1567636</v>
      </c>
      <c r="H119" s="9">
        <v>5334</v>
      </c>
      <c r="I119" s="8" t="s">
        <v>74</v>
      </c>
      <c r="J119" s="8" t="s">
        <v>277</v>
      </c>
      <c r="K119" s="16" t="s">
        <v>236</v>
      </c>
      <c r="L119" s="8" t="s">
        <v>77</v>
      </c>
      <c r="M119" s="16" t="s">
        <v>183</v>
      </c>
      <c r="N119" s="8" t="s">
        <v>77</v>
      </c>
      <c r="O119" s="15">
        <v>186617</v>
      </c>
      <c r="P119" s="15">
        <v>186642</v>
      </c>
      <c r="Q119" s="15">
        <f t="shared" si="24"/>
        <v>25</v>
      </c>
      <c r="R119" s="6">
        <v>100</v>
      </c>
      <c r="S119" s="2" t="str">
        <f t="shared" si="25"/>
        <v>0</v>
      </c>
      <c r="T119" s="2">
        <v>0</v>
      </c>
      <c r="U119" s="3">
        <v>46171.572916666664</v>
      </c>
      <c r="V119" s="3">
        <v>46171.572916666664</v>
      </c>
      <c r="W119" s="3" t="b">
        <f t="shared" ref="W119:W123" si="46">U119=V119</f>
        <v>1</v>
      </c>
      <c r="X119" s="3">
        <v>46171.697916666672</v>
      </c>
      <c r="Y119" s="4">
        <f t="shared" si="38"/>
        <v>0.12500000000727596</v>
      </c>
      <c r="Z119" s="7">
        <v>0.125</v>
      </c>
      <c r="AA119" s="4">
        <f t="shared" si="27"/>
        <v>7.2759576141834259E-12</v>
      </c>
      <c r="AB119" s="19">
        <v>145</v>
      </c>
      <c r="AC119" s="19">
        <v>7.35</v>
      </c>
      <c r="AD119" s="20">
        <f t="shared" si="28"/>
        <v>2.5320332497358322E-8</v>
      </c>
      <c r="AE119" s="20">
        <f t="shared" si="39"/>
        <v>0</v>
      </c>
      <c r="AF119" s="20">
        <f t="shared" si="40"/>
        <v>0</v>
      </c>
      <c r="AG119" s="19">
        <v>735</v>
      </c>
      <c r="AH119" s="20">
        <v>0</v>
      </c>
      <c r="AI119" s="20">
        <f t="shared" si="30"/>
        <v>735.00000002532033</v>
      </c>
      <c r="AJ119" s="1" t="s">
        <v>365</v>
      </c>
      <c r="AK119" s="1" t="s">
        <v>365</v>
      </c>
      <c r="AL119" s="1"/>
      <c r="AM119" s="1" t="s">
        <v>375</v>
      </c>
      <c r="AN119" s="1"/>
    </row>
    <row r="120" spans="1:40" s="14" customFormat="1" ht="12" customHeight="1" x14ac:dyDescent="0.3">
      <c r="A120" s="8" t="s">
        <v>37</v>
      </c>
      <c r="B120" s="8" t="s">
        <v>273</v>
      </c>
      <c r="C120" s="8" t="s">
        <v>364</v>
      </c>
      <c r="D120" s="8" t="s">
        <v>39</v>
      </c>
      <c r="E120" s="8" t="s">
        <v>73</v>
      </c>
      <c r="F120" s="9">
        <v>179802</v>
      </c>
      <c r="G120" s="9">
        <v>1567636</v>
      </c>
      <c r="H120" s="9">
        <v>5335</v>
      </c>
      <c r="I120" s="8" t="s">
        <v>224</v>
      </c>
      <c r="J120" s="8" t="s">
        <v>277</v>
      </c>
      <c r="K120" s="16" t="s">
        <v>236</v>
      </c>
      <c r="L120" s="8" t="s">
        <v>77</v>
      </c>
      <c r="M120" s="16" t="s">
        <v>183</v>
      </c>
      <c r="N120" s="8" t="s">
        <v>77</v>
      </c>
      <c r="O120" s="15">
        <v>216970</v>
      </c>
      <c r="P120" s="15">
        <v>216995</v>
      </c>
      <c r="Q120" s="15">
        <f t="shared" si="24"/>
        <v>25</v>
      </c>
      <c r="R120" s="6">
        <v>100</v>
      </c>
      <c r="S120" s="2" t="str">
        <f t="shared" si="25"/>
        <v>0</v>
      </c>
      <c r="T120" s="2">
        <v>0</v>
      </c>
      <c r="U120" s="3">
        <v>46171.572916666664</v>
      </c>
      <c r="V120" s="3">
        <v>46171.572916666664</v>
      </c>
      <c r="W120" s="3" t="b">
        <f t="shared" si="46"/>
        <v>1</v>
      </c>
      <c r="X120" s="3">
        <v>46171.697916666672</v>
      </c>
      <c r="Y120" s="4">
        <f t="shared" si="38"/>
        <v>0.12500000000727596</v>
      </c>
      <c r="Z120" s="7">
        <v>0.125</v>
      </c>
      <c r="AA120" s="4">
        <f t="shared" si="27"/>
        <v>7.2759576141834259E-12</v>
      </c>
      <c r="AB120" s="19">
        <v>145</v>
      </c>
      <c r="AC120" s="19">
        <v>7.35</v>
      </c>
      <c r="AD120" s="20">
        <f t="shared" si="28"/>
        <v>2.5320332497358322E-8</v>
      </c>
      <c r="AE120" s="20">
        <f t="shared" si="39"/>
        <v>0</v>
      </c>
      <c r="AF120" s="20">
        <f t="shared" si="40"/>
        <v>0</v>
      </c>
      <c r="AG120" s="19">
        <v>735</v>
      </c>
      <c r="AH120" s="20">
        <v>0</v>
      </c>
      <c r="AI120" s="20">
        <f t="shared" si="30"/>
        <v>735.00000002532033</v>
      </c>
      <c r="AJ120" s="1" t="s">
        <v>365</v>
      </c>
      <c r="AK120" s="1" t="s">
        <v>365</v>
      </c>
      <c r="AL120" s="1"/>
      <c r="AM120" s="1" t="s">
        <v>375</v>
      </c>
      <c r="AN120" s="1"/>
    </row>
    <row r="121" spans="1:40" s="14" customFormat="1" ht="12" customHeight="1" x14ac:dyDescent="0.3">
      <c r="A121" s="8" t="s">
        <v>37</v>
      </c>
      <c r="B121" s="8" t="s">
        <v>273</v>
      </c>
      <c r="C121" s="8" t="s">
        <v>364</v>
      </c>
      <c r="D121" s="8" t="s">
        <v>39</v>
      </c>
      <c r="E121" s="8" t="s">
        <v>50</v>
      </c>
      <c r="F121" s="9">
        <v>179857</v>
      </c>
      <c r="G121" s="9">
        <v>1568177.1568177</v>
      </c>
      <c r="H121" s="9">
        <v>5346</v>
      </c>
      <c r="I121" s="8" t="s">
        <v>355</v>
      </c>
      <c r="J121" s="8" t="s">
        <v>356</v>
      </c>
      <c r="K121" s="16" t="s">
        <v>59</v>
      </c>
      <c r="L121" s="16" t="s">
        <v>54</v>
      </c>
      <c r="M121" s="16" t="s">
        <v>55</v>
      </c>
      <c r="N121" s="8" t="s">
        <v>54</v>
      </c>
      <c r="O121" s="15">
        <v>47966</v>
      </c>
      <c r="P121" s="15">
        <v>48178</v>
      </c>
      <c r="Q121" s="15">
        <f t="shared" si="24"/>
        <v>212</v>
      </c>
      <c r="R121" s="6">
        <v>200</v>
      </c>
      <c r="S121" s="2">
        <f t="shared" si="25"/>
        <v>12</v>
      </c>
      <c r="T121" s="2">
        <v>0</v>
      </c>
      <c r="U121" s="3">
        <v>46172.302083333336</v>
      </c>
      <c r="V121" s="3">
        <v>46172.302083333336</v>
      </c>
      <c r="W121" s="3" t="b">
        <f t="shared" si="46"/>
        <v>1</v>
      </c>
      <c r="X121" s="3">
        <v>46172.510416666672</v>
      </c>
      <c r="Y121" s="4">
        <f t="shared" si="38"/>
        <v>0.20833333333575865</v>
      </c>
      <c r="Z121" s="7">
        <v>0.20833333333333334</v>
      </c>
      <c r="AA121" s="4">
        <f t="shared" si="27"/>
        <v>2.4253099528692701E-12</v>
      </c>
      <c r="AB121" s="19">
        <v>145</v>
      </c>
      <c r="AC121" s="19">
        <v>6.9</v>
      </c>
      <c r="AD121" s="20">
        <f t="shared" si="28"/>
        <v>8.4400786359850599E-9</v>
      </c>
      <c r="AE121" s="20">
        <f t="shared" si="39"/>
        <v>82.800000000000011</v>
      </c>
      <c r="AF121" s="20">
        <f t="shared" si="40"/>
        <v>0</v>
      </c>
      <c r="AG121" s="19">
        <v>1297.2</v>
      </c>
      <c r="AH121" s="20">
        <v>35</v>
      </c>
      <c r="AI121" s="20">
        <f t="shared" si="30"/>
        <v>1415.0000000084401</v>
      </c>
      <c r="AJ121" s="1" t="s">
        <v>365</v>
      </c>
      <c r="AK121" s="1" t="s">
        <v>365</v>
      </c>
      <c r="AL121" s="1"/>
      <c r="AM121" s="1" t="s">
        <v>373</v>
      </c>
      <c r="AN121" s="1"/>
    </row>
    <row r="122" spans="1:40" s="14" customFormat="1" ht="12" customHeight="1" x14ac:dyDescent="0.3">
      <c r="A122" s="8" t="s">
        <v>37</v>
      </c>
      <c r="B122" s="8" t="s">
        <v>273</v>
      </c>
      <c r="C122" s="8" t="s">
        <v>364</v>
      </c>
      <c r="D122" s="8" t="s">
        <v>39</v>
      </c>
      <c r="E122" s="8" t="s">
        <v>50</v>
      </c>
      <c r="F122" s="9">
        <v>179891</v>
      </c>
      <c r="G122" s="9">
        <v>1568259</v>
      </c>
      <c r="H122" s="9">
        <v>5347</v>
      </c>
      <c r="I122" s="8" t="s">
        <v>127</v>
      </c>
      <c r="J122" s="8" t="s">
        <v>357</v>
      </c>
      <c r="K122" s="16" t="s">
        <v>53</v>
      </c>
      <c r="L122" s="16" t="s">
        <v>54</v>
      </c>
      <c r="M122" s="16" t="s">
        <v>55</v>
      </c>
      <c r="N122" s="8" t="s">
        <v>54</v>
      </c>
      <c r="O122" s="15">
        <v>424508</v>
      </c>
      <c r="P122" s="15">
        <v>424709</v>
      </c>
      <c r="Q122" s="15">
        <f t="shared" si="24"/>
        <v>201</v>
      </c>
      <c r="R122" s="6">
        <v>200</v>
      </c>
      <c r="S122" s="2">
        <f t="shared" si="25"/>
        <v>1</v>
      </c>
      <c r="T122" s="2">
        <v>0</v>
      </c>
      <c r="U122" s="3">
        <v>46172.96875</v>
      </c>
      <c r="V122" s="3">
        <v>46172.96875</v>
      </c>
      <c r="W122" s="3" t="b">
        <f t="shared" si="46"/>
        <v>1</v>
      </c>
      <c r="X122" s="3">
        <v>46173.177083333328</v>
      </c>
      <c r="Y122" s="4">
        <f t="shared" si="38"/>
        <v>0.20833333332848269</v>
      </c>
      <c r="Z122" s="7">
        <v>0.20833333333333334</v>
      </c>
      <c r="AA122" s="4" t="str">
        <f t="shared" si="27"/>
        <v>00:00:00</v>
      </c>
      <c r="AB122" s="19">
        <v>145</v>
      </c>
      <c r="AC122" s="19">
        <v>6.9</v>
      </c>
      <c r="AD122" s="20">
        <f t="shared" si="28"/>
        <v>0</v>
      </c>
      <c r="AE122" s="20">
        <f t="shared" si="39"/>
        <v>6.9</v>
      </c>
      <c r="AF122" s="20">
        <f t="shared" si="40"/>
        <v>0</v>
      </c>
      <c r="AG122" s="19">
        <v>1373.1</v>
      </c>
      <c r="AH122" s="20">
        <v>35</v>
      </c>
      <c r="AI122" s="20">
        <f t="shared" si="30"/>
        <v>1415</v>
      </c>
      <c r="AJ122" s="1" t="s">
        <v>365</v>
      </c>
      <c r="AK122" s="1" t="s">
        <v>365</v>
      </c>
      <c r="AL122" s="1"/>
      <c r="AM122" s="1" t="s">
        <v>373</v>
      </c>
      <c r="AN122" s="1"/>
    </row>
    <row r="123" spans="1:40" s="14" customFormat="1" ht="12" customHeight="1" x14ac:dyDescent="0.3">
      <c r="A123" s="8" t="s">
        <v>37</v>
      </c>
      <c r="B123" s="8" t="s">
        <v>273</v>
      </c>
      <c r="C123" s="8" t="s">
        <v>364</v>
      </c>
      <c r="D123" s="8" t="s">
        <v>39</v>
      </c>
      <c r="E123" s="8" t="s">
        <v>50</v>
      </c>
      <c r="F123" s="9">
        <v>179903</v>
      </c>
      <c r="G123" s="9">
        <v>1568842</v>
      </c>
      <c r="H123" s="9">
        <v>5362</v>
      </c>
      <c r="I123" s="8" t="s">
        <v>358</v>
      </c>
      <c r="J123" s="8" t="s">
        <v>359</v>
      </c>
      <c r="K123" s="16" t="s">
        <v>59</v>
      </c>
      <c r="L123" s="16" t="s">
        <v>54</v>
      </c>
      <c r="M123" s="16" t="s">
        <v>55</v>
      </c>
      <c r="N123" s="8" t="s">
        <v>54</v>
      </c>
      <c r="O123" s="15">
        <v>73691</v>
      </c>
      <c r="P123" s="15">
        <v>73892</v>
      </c>
      <c r="Q123" s="15">
        <f t="shared" si="24"/>
        <v>201</v>
      </c>
      <c r="R123" s="6">
        <v>200</v>
      </c>
      <c r="S123" s="2">
        <f t="shared" si="25"/>
        <v>1</v>
      </c>
      <c r="T123" s="2">
        <v>0</v>
      </c>
      <c r="U123" s="3">
        <v>46173.743055555555</v>
      </c>
      <c r="V123" s="3">
        <v>46173.743055555555</v>
      </c>
      <c r="W123" s="3" t="b">
        <f t="shared" si="46"/>
        <v>1</v>
      </c>
      <c r="X123" s="3">
        <v>46173.951388888891</v>
      </c>
      <c r="Y123" s="4">
        <f t="shared" si="38"/>
        <v>0.20833333333575865</v>
      </c>
      <c r="Z123" s="7">
        <v>0.20833333333333334</v>
      </c>
      <c r="AA123" s="4">
        <f t="shared" si="27"/>
        <v>2.4253099528692701E-12</v>
      </c>
      <c r="AB123" s="19">
        <v>145</v>
      </c>
      <c r="AC123" s="19">
        <v>6.9</v>
      </c>
      <c r="AD123" s="20">
        <f t="shared" si="28"/>
        <v>8.4400786359850599E-9</v>
      </c>
      <c r="AE123" s="20">
        <f t="shared" si="39"/>
        <v>6.9</v>
      </c>
      <c r="AF123" s="20">
        <f t="shared" si="40"/>
        <v>0</v>
      </c>
      <c r="AG123" s="19">
        <v>1373.1</v>
      </c>
      <c r="AH123" s="20">
        <v>35</v>
      </c>
      <c r="AI123" s="20">
        <f t="shared" si="30"/>
        <v>1415.0000000084399</v>
      </c>
      <c r="AJ123" s="1" t="s">
        <v>365</v>
      </c>
      <c r="AK123" s="1" t="s">
        <v>365</v>
      </c>
      <c r="AL123" s="1"/>
      <c r="AM123" s="1" t="s">
        <v>373</v>
      </c>
      <c r="AN123" s="1"/>
    </row>
    <row r="124" spans="1:40" s="14" customFormat="1" ht="12" customHeight="1" x14ac:dyDescent="0.3">
      <c r="A124" s="8" t="s">
        <v>37</v>
      </c>
      <c r="B124" s="8" t="s">
        <v>273</v>
      </c>
      <c r="C124" s="8" t="s">
        <v>364</v>
      </c>
      <c r="D124" s="8" t="s">
        <v>39</v>
      </c>
      <c r="E124" s="8" t="s">
        <v>360</v>
      </c>
      <c r="F124" s="9">
        <v>179904</v>
      </c>
      <c r="G124" s="9">
        <v>1568955.1568954999</v>
      </c>
      <c r="H124" s="9">
        <v>5363</v>
      </c>
      <c r="I124" s="8" t="s">
        <v>129</v>
      </c>
      <c r="J124" s="8" t="s">
        <v>361</v>
      </c>
      <c r="K124" s="16" t="s">
        <v>332</v>
      </c>
      <c r="L124" s="16" t="s">
        <v>54</v>
      </c>
      <c r="M124" s="16" t="s">
        <v>184</v>
      </c>
      <c r="N124" s="8" t="s">
        <v>54</v>
      </c>
      <c r="O124" s="15">
        <v>24246</v>
      </c>
      <c r="P124" s="15">
        <v>24284</v>
      </c>
      <c r="Q124" s="15">
        <f t="shared" si="24"/>
        <v>38</v>
      </c>
      <c r="R124" s="6">
        <v>100</v>
      </c>
      <c r="S124" s="2" t="str">
        <f t="shared" si="25"/>
        <v>0</v>
      </c>
      <c r="T124" s="2">
        <v>0</v>
      </c>
      <c r="U124" s="3">
        <v>46173.979166666664</v>
      </c>
      <c r="V124" s="3">
        <v>46173.979166666664</v>
      </c>
      <c r="W124" s="3" t="b">
        <f t="shared" ref="W124:W126" si="47">V124=U124</f>
        <v>1</v>
      </c>
      <c r="X124" s="3">
        <v>46174.104166666672</v>
      </c>
      <c r="Y124" s="4">
        <f t="shared" si="38"/>
        <v>0.12500000000727596</v>
      </c>
      <c r="Z124" s="7">
        <v>0.125</v>
      </c>
      <c r="AA124" s="4">
        <f t="shared" si="27"/>
        <v>7.2759576141834259E-12</v>
      </c>
      <c r="AB124" s="19">
        <v>145</v>
      </c>
      <c r="AC124" s="19">
        <v>6.9</v>
      </c>
      <c r="AD124" s="20">
        <f t="shared" si="28"/>
        <v>2.5320332497358322E-8</v>
      </c>
      <c r="AE124" s="20">
        <f t="shared" si="39"/>
        <v>0</v>
      </c>
      <c r="AF124" s="20">
        <f t="shared" si="40"/>
        <v>0</v>
      </c>
      <c r="AG124" s="19">
        <v>690</v>
      </c>
      <c r="AH124" s="20">
        <v>0</v>
      </c>
      <c r="AI124" s="20">
        <f t="shared" si="30"/>
        <v>690.00000002532033</v>
      </c>
      <c r="AJ124" s="1" t="s">
        <v>365</v>
      </c>
      <c r="AK124" s="1" t="s">
        <v>365</v>
      </c>
      <c r="AL124" s="1"/>
      <c r="AM124" s="1" t="s">
        <v>375</v>
      </c>
      <c r="AN124" s="1"/>
    </row>
    <row r="125" spans="1:40" s="14" customFormat="1" ht="12" customHeight="1" x14ac:dyDescent="0.3">
      <c r="A125" s="8" t="s">
        <v>37</v>
      </c>
      <c r="B125" s="8" t="s">
        <v>273</v>
      </c>
      <c r="C125" s="8" t="s">
        <v>364</v>
      </c>
      <c r="D125" s="8" t="s">
        <v>39</v>
      </c>
      <c r="E125" s="8" t="s">
        <v>360</v>
      </c>
      <c r="F125" s="9">
        <v>179905</v>
      </c>
      <c r="G125" s="9">
        <v>1569054.1569054001</v>
      </c>
      <c r="H125" s="9">
        <v>5364</v>
      </c>
      <c r="I125" s="8" t="s">
        <v>358</v>
      </c>
      <c r="J125" s="8" t="s">
        <v>362</v>
      </c>
      <c r="K125" s="16" t="s">
        <v>332</v>
      </c>
      <c r="L125" s="16" t="s">
        <v>54</v>
      </c>
      <c r="M125" s="16" t="s">
        <v>184</v>
      </c>
      <c r="N125" s="8" t="s">
        <v>54</v>
      </c>
      <c r="O125" s="15">
        <v>74045</v>
      </c>
      <c r="P125" s="15">
        <v>74083</v>
      </c>
      <c r="Q125" s="15">
        <f t="shared" si="24"/>
        <v>38</v>
      </c>
      <c r="R125" s="6">
        <v>100</v>
      </c>
      <c r="S125" s="2" t="str">
        <f t="shared" si="25"/>
        <v>0</v>
      </c>
      <c r="T125" s="2">
        <v>0</v>
      </c>
      <c r="U125" s="3">
        <v>46173.979166666664</v>
      </c>
      <c r="V125" s="3">
        <v>46173.979166666664</v>
      </c>
      <c r="W125" s="3" t="b">
        <f t="shared" si="47"/>
        <v>1</v>
      </c>
      <c r="X125" s="3">
        <v>46174.104166666672</v>
      </c>
      <c r="Y125" s="4">
        <f t="shared" si="38"/>
        <v>0.12500000000727596</v>
      </c>
      <c r="Z125" s="7">
        <v>0.125</v>
      </c>
      <c r="AA125" s="4">
        <f t="shared" si="27"/>
        <v>7.2759576141834259E-12</v>
      </c>
      <c r="AB125" s="19">
        <v>145</v>
      </c>
      <c r="AC125" s="19">
        <v>6.9</v>
      </c>
      <c r="AD125" s="20">
        <f t="shared" si="28"/>
        <v>2.5320332497358322E-8</v>
      </c>
      <c r="AE125" s="20">
        <f t="shared" si="39"/>
        <v>0</v>
      </c>
      <c r="AF125" s="20">
        <f t="shared" si="40"/>
        <v>0</v>
      </c>
      <c r="AG125" s="19">
        <v>690</v>
      </c>
      <c r="AH125" s="20">
        <v>0</v>
      </c>
      <c r="AI125" s="20">
        <f t="shared" si="30"/>
        <v>690.00000002532033</v>
      </c>
      <c r="AJ125" s="1" t="s">
        <v>365</v>
      </c>
      <c r="AK125" s="1" t="s">
        <v>365</v>
      </c>
      <c r="AL125" s="1"/>
      <c r="AM125" s="1" t="s">
        <v>375</v>
      </c>
      <c r="AN125" s="1"/>
    </row>
    <row r="126" spans="1:40" s="14" customFormat="1" ht="12" customHeight="1" x14ac:dyDescent="0.3">
      <c r="A126" s="8" t="s">
        <v>37</v>
      </c>
      <c r="B126" s="8" t="s">
        <v>273</v>
      </c>
      <c r="C126" s="8" t="s">
        <v>364</v>
      </c>
      <c r="D126" s="8" t="s">
        <v>39</v>
      </c>
      <c r="E126" s="8" t="s">
        <v>360</v>
      </c>
      <c r="F126" s="9">
        <v>179906</v>
      </c>
      <c r="G126" s="9">
        <v>1569010.1569010001</v>
      </c>
      <c r="H126" s="9">
        <v>5365</v>
      </c>
      <c r="I126" s="8" t="s">
        <v>127</v>
      </c>
      <c r="J126" s="8" t="s">
        <v>363</v>
      </c>
      <c r="K126" s="16" t="s">
        <v>332</v>
      </c>
      <c r="L126" s="16" t="s">
        <v>54</v>
      </c>
      <c r="M126" s="16" t="s">
        <v>184</v>
      </c>
      <c r="N126" s="8" t="s">
        <v>54</v>
      </c>
      <c r="O126" s="15">
        <v>425076</v>
      </c>
      <c r="P126" s="15">
        <v>425116</v>
      </c>
      <c r="Q126" s="15">
        <f t="shared" si="24"/>
        <v>40</v>
      </c>
      <c r="R126" s="6">
        <v>100</v>
      </c>
      <c r="S126" s="2" t="str">
        <f t="shared" si="25"/>
        <v>0</v>
      </c>
      <c r="T126" s="2">
        <v>0</v>
      </c>
      <c r="U126" s="3">
        <v>46173.979166666664</v>
      </c>
      <c r="V126" s="3">
        <v>46173.979166666664</v>
      </c>
      <c r="W126" s="3" t="b">
        <f t="shared" si="47"/>
        <v>1</v>
      </c>
      <c r="X126" s="3">
        <v>46174.104166666672</v>
      </c>
      <c r="Y126" s="4">
        <f t="shared" si="38"/>
        <v>0.12500000000727596</v>
      </c>
      <c r="Z126" s="7">
        <v>0.125</v>
      </c>
      <c r="AA126" s="4">
        <f t="shared" si="27"/>
        <v>7.2759576141834259E-12</v>
      </c>
      <c r="AB126" s="19">
        <v>145</v>
      </c>
      <c r="AC126" s="19">
        <v>6.9</v>
      </c>
      <c r="AD126" s="20">
        <f t="shared" si="28"/>
        <v>2.5320332497358322E-8</v>
      </c>
      <c r="AE126" s="20">
        <f t="shared" si="39"/>
        <v>0</v>
      </c>
      <c r="AF126" s="20">
        <f t="shared" si="40"/>
        <v>0</v>
      </c>
      <c r="AG126" s="19">
        <v>690</v>
      </c>
      <c r="AH126" s="20">
        <v>0</v>
      </c>
      <c r="AI126" s="20">
        <f t="shared" si="30"/>
        <v>690.00000002532033</v>
      </c>
      <c r="AJ126" s="1" t="s">
        <v>365</v>
      </c>
      <c r="AK126" s="1" t="s">
        <v>365</v>
      </c>
      <c r="AL126" s="1"/>
      <c r="AM126" s="1" t="s">
        <v>375</v>
      </c>
      <c r="AN126" s="1"/>
    </row>
  </sheetData>
  <autoFilter ref="A1:AN126" xr:uid="{00000000-0001-0000-0000-000000000000}"/>
  <conditionalFormatting sqref="F1:F1048576">
    <cfRule type="duplicateValues" dxfId="0" priority="1"/>
  </conditionalFormatting>
  <pageMargins left="0.7" right="0.7" top="0.75" bottom="0.75" header="0.3" footer="0.3"/>
  <pageSetup paperSize="9" fitToHeight="0" orientation="landscape" horizontalDpi="4294967295" verticalDpi="4294967295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2026-05-29T19:15:03Z</dcterms:created>
  <dcterms:modified xsi:type="dcterms:W3CDTF">2026-06-03T20:41:13Z</dcterms:modified>
  <cp:category/>
</cp:coreProperties>
</file>